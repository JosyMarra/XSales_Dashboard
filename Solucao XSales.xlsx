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5981dcd474f9d439/Empowerdata/9 - CursosOnline/0-Projetos/1 - Case 1 - Vendas XSales 2.0/0 - Materiais e Resolucao/"/>
    </mc:Choice>
  </mc:AlternateContent>
  <xr:revisionPtr revIDLastSave="2" documentId="13_ncr:1_{337EF1D1-FFAB-4338-9F57-5B129D47A629}" xr6:coauthVersionLast="47" xr6:coauthVersionMax="47" xr10:uidLastSave="{E1230174-9B8F-4ACF-89BE-EBB1CF2AC2AA}"/>
  <bookViews>
    <workbookView xWindow="-108" yWindow="-108" windowWidth="23256" windowHeight="12456" activeTab="1" xr2:uid="{00000000-000D-0000-FFFF-FFFF00000000}"/>
  </bookViews>
  <sheets>
    <sheet name="Solucao" sheetId="9" r:id="rId1"/>
    <sheet name="BD" sheetId="8" r:id="rId2"/>
  </sheets>
  <definedNames>
    <definedName name="_xlnm._FilterDatabase" localSheetId="1" hidden="1">BD!$A$1:$K$701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8" i="9" l="1"/>
  <c r="F68" i="9"/>
  <c r="E68" i="9"/>
  <c r="D68" i="9"/>
  <c r="C68" i="9"/>
  <c r="G67" i="9"/>
  <c r="F67" i="9"/>
  <c r="E67" i="9"/>
  <c r="D67" i="9"/>
  <c r="C67" i="9"/>
  <c r="G66" i="9"/>
  <c r="F66" i="9"/>
  <c r="E66" i="9"/>
  <c r="D66" i="9"/>
  <c r="C66" i="9"/>
  <c r="G65" i="9"/>
  <c r="F65" i="9"/>
  <c r="E65" i="9"/>
  <c r="D65" i="9"/>
  <c r="C65" i="9"/>
  <c r="G64" i="9"/>
  <c r="F64" i="9"/>
  <c r="E64" i="9"/>
  <c r="D64" i="9"/>
  <c r="C64" i="9"/>
  <c r="G63" i="9"/>
  <c r="F63" i="9"/>
  <c r="E63" i="9"/>
  <c r="D63" i="9"/>
  <c r="C63" i="9"/>
  <c r="G54" i="9"/>
  <c r="F54" i="9"/>
  <c r="E54" i="9"/>
  <c r="D54" i="9"/>
  <c r="G53" i="9"/>
  <c r="F53" i="9"/>
  <c r="E53" i="9"/>
  <c r="D53" i="9"/>
  <c r="G52" i="9"/>
  <c r="F52" i="9"/>
  <c r="E52" i="9"/>
  <c r="D52" i="9"/>
  <c r="G51" i="9"/>
  <c r="F51" i="9"/>
  <c r="E51" i="9"/>
  <c r="D51" i="9"/>
  <c r="G50" i="9"/>
  <c r="F50" i="9"/>
  <c r="F55" i="9" s="1"/>
  <c r="E50" i="9"/>
  <c r="D50" i="9"/>
  <c r="C54" i="9"/>
  <c r="C53" i="9"/>
  <c r="C52" i="9"/>
  <c r="C51" i="9"/>
  <c r="C50" i="9"/>
  <c r="G40" i="9"/>
  <c r="F40" i="9"/>
  <c r="E40" i="9"/>
  <c r="D40" i="9"/>
  <c r="G39" i="9"/>
  <c r="F39" i="9"/>
  <c r="E39" i="9"/>
  <c r="D39" i="9"/>
  <c r="G38" i="9"/>
  <c r="F38" i="9"/>
  <c r="E38" i="9"/>
  <c r="D38" i="9"/>
  <c r="G37" i="9"/>
  <c r="F37" i="9"/>
  <c r="E37" i="9"/>
  <c r="D37" i="9"/>
  <c r="G36" i="9"/>
  <c r="F36" i="9"/>
  <c r="E36" i="9"/>
  <c r="D36" i="9"/>
  <c r="C40" i="9"/>
  <c r="C39" i="9"/>
  <c r="C38" i="9"/>
  <c r="C37" i="9"/>
  <c r="C36" i="9"/>
  <c r="Q21" i="9"/>
  <c r="Q22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R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R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5" i="9"/>
  <c r="C24" i="9"/>
  <c r="C23" i="9"/>
  <c r="C22" i="9"/>
  <c r="C2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R7" i="9"/>
  <c r="Q7" i="9"/>
  <c r="P7" i="9"/>
  <c r="P12" i="9" s="1"/>
  <c r="O7" i="9"/>
  <c r="O12" i="9" s="1"/>
  <c r="N7" i="9"/>
  <c r="M7" i="9"/>
  <c r="M12" i="9" s="1"/>
  <c r="L7" i="9"/>
  <c r="K7" i="9"/>
  <c r="K12" i="9" s="1"/>
  <c r="J7" i="9"/>
  <c r="J12" i="9" s="1"/>
  <c r="I7" i="9"/>
  <c r="H7" i="9"/>
  <c r="G7" i="9"/>
  <c r="G12" i="9" s="1"/>
  <c r="F7" i="9"/>
  <c r="E7" i="9"/>
  <c r="D7" i="9"/>
  <c r="D12" i="9" s="1"/>
  <c r="C7" i="9"/>
  <c r="P26" i="9" l="1"/>
  <c r="G55" i="9"/>
  <c r="H54" i="9"/>
  <c r="H67" i="9"/>
  <c r="I26" i="9"/>
  <c r="R26" i="9"/>
  <c r="D69" i="9"/>
  <c r="H51" i="9"/>
  <c r="H66" i="9"/>
  <c r="H68" i="9"/>
  <c r="C55" i="9"/>
  <c r="H52" i="9"/>
  <c r="H53" i="9"/>
  <c r="D55" i="9"/>
  <c r="E55" i="9"/>
  <c r="H55" i="9" s="1"/>
  <c r="C69" i="9"/>
  <c r="H65" i="9"/>
  <c r="F69" i="9"/>
  <c r="H63" i="9"/>
  <c r="E69" i="9"/>
  <c r="H64" i="9"/>
  <c r="E41" i="9"/>
  <c r="M26" i="9"/>
  <c r="O26" i="9"/>
  <c r="S24" i="9"/>
  <c r="S25" i="9"/>
  <c r="D26" i="9"/>
  <c r="E26" i="9"/>
  <c r="G26" i="9"/>
  <c r="F26" i="9"/>
  <c r="H26" i="9"/>
  <c r="S23" i="9"/>
  <c r="J26" i="9"/>
  <c r="K26" i="9"/>
  <c r="L26" i="9"/>
  <c r="N26" i="9"/>
  <c r="H12" i="9"/>
  <c r="L12" i="9"/>
  <c r="E12" i="9"/>
  <c r="I12" i="9"/>
  <c r="G69" i="9"/>
  <c r="H50" i="9"/>
  <c r="H37" i="9"/>
  <c r="C41" i="9"/>
  <c r="H38" i="9"/>
  <c r="H39" i="9"/>
  <c r="H40" i="9"/>
  <c r="D41" i="9"/>
  <c r="F41" i="9"/>
  <c r="G41" i="9"/>
  <c r="H36" i="9"/>
  <c r="F12" i="9"/>
  <c r="C26" i="9"/>
  <c r="Q12" i="9"/>
  <c r="Q26" i="9"/>
  <c r="S22" i="9"/>
  <c r="S21" i="9"/>
  <c r="R12" i="9"/>
  <c r="N12" i="9"/>
  <c r="S7" i="9"/>
  <c r="S8" i="9"/>
  <c r="S9" i="9"/>
  <c r="S10" i="9"/>
  <c r="S11" i="9"/>
  <c r="C12" i="9"/>
  <c r="H69" i="9" l="1"/>
  <c r="H41" i="9"/>
  <c r="S26" i="9"/>
  <c r="S12" i="9"/>
</calcChain>
</file>

<file path=xl/sharedStrings.xml><?xml version="1.0" encoding="utf-8"?>
<sst xmlns="http://schemas.openxmlformats.org/spreadsheetml/2006/main" count="2884" uniqueCount="66">
  <si>
    <t>Lucro</t>
  </si>
  <si>
    <t>País</t>
  </si>
  <si>
    <t>Produto 1</t>
  </si>
  <si>
    <t>Governo</t>
  </si>
  <si>
    <t>Produto</t>
  </si>
  <si>
    <t>Produto 2</t>
  </si>
  <si>
    <t>Produto 3</t>
  </si>
  <si>
    <t>Produto 4</t>
  </si>
  <si>
    <t>Produto 5</t>
  </si>
  <si>
    <t>Produto 6</t>
  </si>
  <si>
    <t>Canadá</t>
  </si>
  <si>
    <t>Alemanha</t>
  </si>
  <si>
    <t>EUA</t>
  </si>
  <si>
    <t>Pequenas Empresas</t>
  </si>
  <si>
    <t>Vendas Online</t>
  </si>
  <si>
    <t>Desconto</t>
  </si>
  <si>
    <t>Médias Empresas</t>
  </si>
  <si>
    <t>Grandes Empresas</t>
  </si>
  <si>
    <t>Data</t>
  </si>
  <si>
    <t>Mês</t>
  </si>
  <si>
    <t>Ano</t>
  </si>
  <si>
    <t>Janeiro</t>
  </si>
  <si>
    <t>Fevereiro</t>
  </si>
  <si>
    <t>Junho</t>
  </si>
  <si>
    <t>Dezembro</t>
  </si>
  <si>
    <t>Março</t>
  </si>
  <si>
    <t>Julho</t>
  </si>
  <si>
    <t>Agosto</t>
  </si>
  <si>
    <t>Setembro</t>
  </si>
  <si>
    <t>Outubro</t>
  </si>
  <si>
    <t>Novembro</t>
  </si>
  <si>
    <t>Maio</t>
  </si>
  <si>
    <t>Chile</t>
  </si>
  <si>
    <t>França</t>
  </si>
  <si>
    <t>Custo Total</t>
  </si>
  <si>
    <t>Tipos de Clientes</t>
  </si>
  <si>
    <t>Valor Total</t>
  </si>
  <si>
    <t>Valor Total c/ Desconto</t>
  </si>
  <si>
    <t>Abril</t>
  </si>
  <si>
    <t>Países</t>
  </si>
  <si>
    <t>Total</t>
  </si>
  <si>
    <t xml:space="preserve">1 - A Empresa Analisada Gerou Lucro ou Prejuízo no Período? </t>
  </si>
  <si>
    <t>Tabela 1 - Análise de geração de Lucro por País e por Período</t>
  </si>
  <si>
    <r>
      <t>2 - Qual Faturamento Médio Mensal desta Empresa?</t>
    </r>
    <r>
      <rPr>
        <b/>
        <sz val="11"/>
        <color theme="1"/>
        <rFont val="Calibri"/>
        <family val="2"/>
        <scheme val="minor"/>
      </rPr>
      <t xml:space="preserve"> / </t>
    </r>
    <r>
      <rPr>
        <b/>
        <sz val="11"/>
        <color theme="5" tint="-0.499984740745262"/>
        <rFont val="Calibri"/>
        <family val="2"/>
        <scheme val="minor"/>
      </rPr>
      <t>3 - Qual mês foi registrado o período de maior faturamento da empresa?</t>
    </r>
  </si>
  <si>
    <t>Tabela 2 - Análise do Faturamento por País e por Período</t>
  </si>
  <si>
    <t>Faturamento Médio</t>
  </si>
  <si>
    <r>
      <t xml:space="preserve">4 - Qual valor total de descontos concedidos sobre as vendas no período? </t>
    </r>
    <r>
      <rPr>
        <b/>
        <sz val="11"/>
        <color theme="1"/>
        <rFont val="Calibri"/>
        <family val="2"/>
        <scheme val="minor"/>
      </rPr>
      <t xml:space="preserve">/ </t>
    </r>
    <r>
      <rPr>
        <b/>
        <sz val="11"/>
        <color theme="5" tint="-0.499984740745262"/>
        <rFont val="Calibri"/>
        <family val="2"/>
        <scheme val="minor"/>
      </rPr>
      <t xml:space="preserve">5 - Qual país gera maior margem de lucro para a empresa em todo o período de Análise </t>
    </r>
    <r>
      <rPr>
        <b/>
        <sz val="11"/>
        <color theme="1"/>
        <rFont val="Calibri"/>
        <family val="2"/>
        <scheme val="minor"/>
      </rPr>
      <t xml:space="preserve">/ </t>
    </r>
    <r>
      <rPr>
        <b/>
        <sz val="11"/>
        <color theme="5" tint="-0.499984740745262"/>
        <rFont val="Calibri"/>
        <family val="2"/>
        <scheme val="minor"/>
      </rPr>
      <t xml:space="preserve">6 - Qual país representa o maior faturamento da empresa em todo período? </t>
    </r>
  </si>
  <si>
    <t>Faturamento Bruto</t>
  </si>
  <si>
    <t>Descontos</t>
  </si>
  <si>
    <t>Faturamento Líquido</t>
  </si>
  <si>
    <t>Custos</t>
  </si>
  <si>
    <t>Margem de Lucro</t>
  </si>
  <si>
    <t xml:space="preserve">7 - Qual tipo de cliente representa o maior faturamento da empresa em todo período? / 8 - Qual tipo de cliente resulta em uma maior margem de lucro para a empresa?
</t>
  </si>
  <si>
    <t>Clientes</t>
  </si>
  <si>
    <t xml:space="preserve">9 - Algum produto gerou prejuízo para esta empresa no período analisado? / 10 - Qual faturamento total e margem de lucro de cada produto?
</t>
  </si>
  <si>
    <t>Produtos</t>
  </si>
  <si>
    <r>
      <t xml:space="preserve">Resposta: </t>
    </r>
    <r>
      <rPr>
        <sz val="10"/>
        <color theme="1"/>
        <rFont val="Calibri"/>
        <family val="2"/>
        <scheme val="minor"/>
      </rPr>
      <t xml:space="preserve">A empresa gerou </t>
    </r>
    <r>
      <rPr>
        <b/>
        <sz val="10"/>
        <color theme="1"/>
        <rFont val="Calibri"/>
        <family val="2"/>
        <scheme val="minor"/>
      </rPr>
      <t>Lucro</t>
    </r>
    <r>
      <rPr>
        <sz val="10"/>
        <color theme="1"/>
        <rFont val="Calibri"/>
        <family val="2"/>
        <scheme val="minor"/>
      </rPr>
      <t xml:space="preserve"> e o valor total aproximado foi de </t>
    </r>
    <r>
      <rPr>
        <b/>
        <sz val="10"/>
        <color theme="1"/>
        <rFont val="Calibri"/>
        <family val="2"/>
        <scheme val="minor"/>
      </rPr>
      <t>USD 15,7 MM</t>
    </r>
  </si>
  <si>
    <t>Tabela 3 - Análise econômica por Região</t>
  </si>
  <si>
    <r>
      <t xml:space="preserve">Resposta 2: </t>
    </r>
    <r>
      <rPr>
        <sz val="10"/>
        <color theme="1"/>
        <rFont val="Calibri"/>
        <family val="2"/>
        <scheme val="minor"/>
      </rPr>
      <t xml:space="preserve">O faturamento médio mensal da empresa é </t>
    </r>
    <r>
      <rPr>
        <b/>
        <sz val="10"/>
        <color theme="1"/>
        <rFont val="Calibri"/>
        <family val="2"/>
        <scheme val="minor"/>
      </rPr>
      <t>USD 7,4 MM</t>
    </r>
  </si>
  <si>
    <r>
      <t xml:space="preserve">Resposta 3: </t>
    </r>
    <r>
      <rPr>
        <sz val="10"/>
        <color theme="1"/>
        <rFont val="Calibri"/>
        <family val="2"/>
        <scheme val="minor"/>
      </rPr>
      <t>O Mês de maior faturamento foi Out/2019 com um valor total de USD 12,3 MM</t>
    </r>
  </si>
  <si>
    <r>
      <t xml:space="preserve">Resposta 4: </t>
    </r>
    <r>
      <rPr>
        <sz val="10"/>
        <color theme="1"/>
        <rFont val="Calibri"/>
        <family val="2"/>
        <scheme val="minor"/>
      </rPr>
      <t>O valor total de desconto foi de USD 9,2 MM</t>
    </r>
  </si>
  <si>
    <r>
      <t xml:space="preserve">Resposta 5: </t>
    </r>
    <r>
      <rPr>
        <sz val="10"/>
        <color theme="1"/>
        <rFont val="Calibri"/>
        <family val="2"/>
        <scheme val="minor"/>
      </rPr>
      <t>O país com maior margem de lucro foi a Alemanha (14,5%)</t>
    </r>
  </si>
  <si>
    <r>
      <t xml:space="preserve">Resposta 6: </t>
    </r>
    <r>
      <rPr>
        <sz val="10"/>
        <color theme="1"/>
        <rFont val="Calibri"/>
        <family val="2"/>
        <scheme val="minor"/>
      </rPr>
      <t>O país com maior faturamento líquido foi os EUA (USD 25,0 MM)</t>
    </r>
  </si>
  <si>
    <r>
      <rPr>
        <u/>
        <sz val="10"/>
        <color theme="1"/>
        <rFont val="Calibri"/>
        <family val="2"/>
        <scheme val="minor"/>
      </rPr>
      <t>Resposta 7:</t>
    </r>
    <r>
      <rPr>
        <sz val="10"/>
        <color theme="1"/>
        <rFont val="Calibri"/>
        <family val="2"/>
        <scheme val="minor"/>
      </rPr>
      <t xml:space="preserve"> O tipo de cliente com maior faturamento é o Governo</t>
    </r>
  </si>
  <si>
    <r>
      <rPr>
        <u/>
        <sz val="10"/>
        <color theme="1"/>
        <rFont val="Calibri"/>
        <family val="2"/>
        <scheme val="minor"/>
      </rPr>
      <t>Resposta 8:</t>
    </r>
    <r>
      <rPr>
        <sz val="10"/>
        <color theme="1"/>
        <rFont val="Calibri"/>
        <family val="2"/>
        <scheme val="minor"/>
      </rPr>
      <t xml:space="preserve"> O cliente com maior margem de lucro é Vendas Online (72,7%)</t>
    </r>
  </si>
  <si>
    <r>
      <rPr>
        <u/>
        <sz val="10"/>
        <color theme="1"/>
        <rFont val="Calibri"/>
        <family val="2"/>
        <scheme val="minor"/>
      </rPr>
      <t>Resposta 9:</t>
    </r>
    <r>
      <rPr>
        <sz val="10"/>
        <color theme="1"/>
        <rFont val="Calibri"/>
        <family val="2"/>
        <scheme val="minor"/>
      </rPr>
      <t xml:space="preserve"> Apesar do Produto 1 possuir um lucro bem abaixo dos outros produtos, nenhum produto desta empresa gerou prejuízo no período.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</si>
</sst>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_-* #,##0_-;\-* #,##0_-;_-* &quot;-&quot;??_-;_-@_-"/>
    <numFmt numFmtId="167" formatCode="0.0%"/>
    <numFmt numFmtId="168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5" fontId="0" fillId="0" borderId="0" xfId="0" applyNumberFormat="1"/>
    <xf numFmtId="17" fontId="3" fillId="3" borderId="0" xfId="0" applyNumberFormat="1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3" fillId="5" borderId="0" xfId="0" applyFont="1" applyFill="1" applyAlignment="1">
      <alignment horizontal="center"/>
    </xf>
    <xf numFmtId="17" fontId="3" fillId="6" borderId="2" xfId="0" applyNumberFormat="1" applyFont="1" applyFill="1" applyBorder="1" applyAlignment="1">
      <alignment horizontal="center"/>
    </xf>
    <xf numFmtId="166" fontId="0" fillId="0" borderId="0" xfId="0" applyNumberFormat="1"/>
    <xf numFmtId="0" fontId="7" fillId="0" borderId="1" xfId="0" applyFont="1" applyBorder="1"/>
    <xf numFmtId="0" fontId="3" fillId="5" borderId="0" xfId="0" applyFont="1" applyFill="1" applyAlignment="1">
      <alignment horizontal="center" vertical="center" wrapText="1"/>
    </xf>
    <xf numFmtId="17" fontId="3" fillId="3" borderId="0" xfId="0" applyNumberFormat="1" applyFont="1" applyFill="1" applyAlignment="1">
      <alignment horizontal="center" vertical="center" wrapText="1"/>
    </xf>
    <xf numFmtId="17" fontId="3" fillId="6" borderId="2" xfId="0" applyNumberFormat="1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66" fontId="6" fillId="0" borderId="0" xfId="1" applyNumberFormat="1" applyFont="1" applyFill="1"/>
    <xf numFmtId="167" fontId="6" fillId="0" borderId="0" xfId="2" applyNumberFormat="1" applyFont="1" applyFill="1" applyAlignment="1">
      <alignment horizontal="center"/>
    </xf>
    <xf numFmtId="0" fontId="8" fillId="0" borderId="1" xfId="0" applyFont="1" applyBorder="1"/>
    <xf numFmtId="166" fontId="8" fillId="0" borderId="1" xfId="1" applyNumberFormat="1" applyFont="1" applyFill="1" applyBorder="1"/>
    <xf numFmtId="167" fontId="8" fillId="0" borderId="1" xfId="2" applyNumberFormat="1" applyFont="1" applyFill="1" applyBorder="1" applyAlignment="1">
      <alignment horizontal="center"/>
    </xf>
    <xf numFmtId="0" fontId="7" fillId="0" borderId="0" xfId="0" applyFont="1"/>
    <xf numFmtId="165" fontId="4" fillId="0" borderId="0" xfId="1" applyNumberFormat="1" applyFont="1"/>
    <xf numFmtId="165" fontId="4" fillId="0" borderId="2" xfId="1" applyNumberFormat="1" applyFont="1" applyBorder="1"/>
    <xf numFmtId="165" fontId="7" fillId="0" borderId="1" xfId="0" applyNumberFormat="1" applyFont="1" applyBorder="1"/>
    <xf numFmtId="165" fontId="7" fillId="0" borderId="3" xfId="0" applyNumberFormat="1" applyFont="1" applyBorder="1"/>
    <xf numFmtId="165" fontId="7" fillId="4" borderId="1" xfId="0" applyNumberFormat="1" applyFont="1" applyFill="1" applyBorder="1"/>
    <xf numFmtId="167" fontId="4" fillId="0" borderId="0" xfId="2" applyNumberFormat="1" applyFont="1" applyAlignment="1">
      <alignment horizontal="center"/>
    </xf>
    <xf numFmtId="167" fontId="7" fillId="0" borderId="1" xfId="2" applyNumberFormat="1" applyFont="1" applyBorder="1" applyAlignment="1">
      <alignment horizontal="center"/>
    </xf>
    <xf numFmtId="167" fontId="0" fillId="4" borderId="0" xfId="2" applyNumberFormat="1" applyFont="1" applyFill="1" applyAlignment="1">
      <alignment horizontal="center"/>
    </xf>
    <xf numFmtId="165" fontId="4" fillId="4" borderId="0" xfId="1" applyNumberFormat="1" applyFont="1" applyFill="1"/>
    <xf numFmtId="166" fontId="6" fillId="4" borderId="0" xfId="1" applyNumberFormat="1" applyFont="1" applyFill="1"/>
    <xf numFmtId="167" fontId="6" fillId="4" borderId="0" xfId="2" applyNumberFormat="1" applyFont="1" applyFill="1" applyAlignment="1">
      <alignment horizontal="center"/>
    </xf>
    <xf numFmtId="167" fontId="8" fillId="4" borderId="1" xfId="2" applyNumberFormat="1" applyFont="1" applyFill="1" applyBorder="1" applyAlignment="1">
      <alignment horizontal="center"/>
    </xf>
  </cellXfs>
  <cellStyles count="5">
    <cellStyle name="Moeda 2" xfId="3" xr:uid="{A03FD713-77A4-4C56-B415-7ADF84A7D783}"/>
    <cellStyle name="Normal" xfId="0" builtinId="0"/>
    <cellStyle name="Porcentagem" xfId="2" builtinId="5"/>
    <cellStyle name="Vírgula" xfId="1" builtinId="3"/>
    <cellStyle name="Vírgula 2" xfId="4" xr:uid="{FCD7ACA8-C7D7-42DB-998D-7A35FDA87BB4}"/>
  </cellStyles>
  <dxfs count="0"/>
  <tableStyles count="1" defaultTableStyle="TableStyleMedium2" defaultPivotStyle="PivotStyleLight16">
    <tableStyle name="Invisible" pivot="0" table="0" count="0" xr9:uid="{E0A64FF2-7341-468D-B1AE-179AAC0A84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E5F4-D0C5-4276-8491-F29F70472D83}">
  <sheetPr>
    <outlinePr summaryBelow="0" summaryRight="0"/>
  </sheetPr>
  <dimension ref="A3:T71"/>
  <sheetViews>
    <sheetView showGridLines="0" zoomScale="115" zoomScaleNormal="115" workbookViewId="0">
      <selection activeCell="G72" sqref="G72"/>
    </sheetView>
  </sheetViews>
  <sheetFormatPr defaultRowHeight="14.4" outlineLevelRow="1" x14ac:dyDescent="0.3"/>
  <cols>
    <col min="1" max="1" width="7.6640625" customWidth="1"/>
    <col min="2" max="2" width="18.33203125" customWidth="1"/>
    <col min="3" max="3" width="13.21875" bestFit="1" customWidth="1"/>
    <col min="4" max="4" width="11.21875" bestFit="1" customWidth="1"/>
    <col min="5" max="6" width="13.21875" bestFit="1" customWidth="1"/>
    <col min="7" max="7" width="12.109375" bestFit="1" customWidth="1"/>
    <col min="8" max="8" width="11.109375" bestFit="1" customWidth="1"/>
    <col min="9" max="11" width="10.88671875" bestFit="1" customWidth="1"/>
    <col min="12" max="12" width="11.109375" bestFit="1" customWidth="1"/>
    <col min="13" max="14" width="10.88671875" bestFit="1" customWidth="1"/>
    <col min="15" max="15" width="11.109375" bestFit="1" customWidth="1"/>
    <col min="16" max="16" width="12.109375" bestFit="1" customWidth="1"/>
    <col min="17" max="17" width="10.88671875" bestFit="1" customWidth="1"/>
    <col min="18" max="18" width="12.109375" bestFit="1" customWidth="1"/>
    <col min="19" max="19" width="13.77734375" customWidth="1"/>
  </cols>
  <sheetData>
    <row r="3" spans="1:20" x14ac:dyDescent="0.3">
      <c r="A3" s="10" t="s">
        <v>41</v>
      </c>
    </row>
    <row r="4" spans="1:20" outlineLevel="1" x14ac:dyDescent="0.3">
      <c r="A4" s="10"/>
    </row>
    <row r="5" spans="1:20" outlineLevel="1" x14ac:dyDescent="0.3">
      <c r="B5" s="9" t="s">
        <v>42</v>
      </c>
    </row>
    <row r="6" spans="1:20" outlineLevel="1" x14ac:dyDescent="0.3">
      <c r="B6" s="11" t="s">
        <v>39</v>
      </c>
      <c r="C6" s="7">
        <v>43344</v>
      </c>
      <c r="D6" s="7">
        <v>43374</v>
      </c>
      <c r="E6" s="7">
        <v>43405</v>
      </c>
      <c r="F6" s="7">
        <v>43435</v>
      </c>
      <c r="G6" s="7">
        <v>43466</v>
      </c>
      <c r="H6" s="7">
        <v>43497</v>
      </c>
      <c r="I6" s="7">
        <v>43525</v>
      </c>
      <c r="J6" s="7">
        <v>43556</v>
      </c>
      <c r="K6" s="7">
        <v>43586</v>
      </c>
      <c r="L6" s="7">
        <v>43617</v>
      </c>
      <c r="M6" s="7">
        <v>43647</v>
      </c>
      <c r="N6" s="7">
        <v>43678</v>
      </c>
      <c r="O6" s="7">
        <v>43709</v>
      </c>
      <c r="P6" s="7">
        <v>43739</v>
      </c>
      <c r="Q6" s="7">
        <v>43770</v>
      </c>
      <c r="R6" s="7">
        <v>43800</v>
      </c>
      <c r="S6" s="12" t="s">
        <v>40</v>
      </c>
    </row>
    <row r="7" spans="1:20" outlineLevel="1" x14ac:dyDescent="0.3">
      <c r="B7" s="8" t="s">
        <v>10</v>
      </c>
      <c r="C7" s="26">
        <f>SUMIFS(BD!$H:$H,BD!$B:$B,Solucao!$B7,BD!$I:$I,Solucao!C$6)</f>
        <v>66365.209999999992</v>
      </c>
      <c r="D7" s="26">
        <f>SUMIFS(BD!$H:$H,BD!$B:$B,Solucao!$B7,BD!$I:$I,Solucao!D$6)</f>
        <v>266689.08</v>
      </c>
      <c r="E7" s="26">
        <f>SUMIFS(BD!$H:$H,BD!$B:$B,Solucao!$B7,BD!$I:$I,Solucao!E$6)</f>
        <v>202210.1</v>
      </c>
      <c r="F7" s="26">
        <f>SUMIFS(BD!$H:$H,BD!$B:$B,Solucao!$B7,BD!$I:$I,Solucao!F$6)</f>
        <v>235467.79</v>
      </c>
      <c r="G7" s="26">
        <f>SUMIFS(BD!$H:$H,BD!$B:$B,Solucao!$B7,BD!$I:$I,Solucao!G$6)</f>
        <v>137144.49</v>
      </c>
      <c r="H7" s="26">
        <f>SUMIFS(BD!$H:$H,BD!$B:$B,Solucao!$B7,BD!$I:$I,Solucao!H$6)</f>
        <v>249893.88</v>
      </c>
      <c r="I7" s="26">
        <f>SUMIFS(BD!$H:$H,BD!$B:$B,Solucao!$B7,BD!$I:$I,Solucao!I$6)</f>
        <v>59900.5</v>
      </c>
      <c r="J7" s="26">
        <f>SUMIFS(BD!$H:$H,BD!$B:$B,Solucao!$B7,BD!$I:$I,Solucao!J$6)</f>
        <v>230796.45</v>
      </c>
      <c r="K7" s="26">
        <f>SUMIFS(BD!$H:$H,BD!$B:$B,Solucao!$B7,BD!$I:$I,Solucao!K$6)</f>
        <v>79668.670000000013</v>
      </c>
      <c r="L7" s="26">
        <f>SUMIFS(BD!$H:$H,BD!$B:$B,Solucao!$B7,BD!$I:$I,Solucao!L$6)</f>
        <v>302727.40000000002</v>
      </c>
      <c r="M7" s="26">
        <f>SUMIFS(BD!$H:$H,BD!$B:$B,Solucao!$B7,BD!$I:$I,Solucao!M$6)</f>
        <v>252601.78499999997</v>
      </c>
      <c r="N7" s="26">
        <f>SUMIFS(BD!$H:$H,BD!$B:$B,Solucao!$B7,BD!$I:$I,Solucao!N$6)</f>
        <v>164365.83999999997</v>
      </c>
      <c r="O7" s="26">
        <f>SUMIFS(BD!$H:$H,BD!$B:$B,Solucao!$B7,BD!$I:$I,Solucao!O$6)</f>
        <v>123659.11</v>
      </c>
      <c r="P7" s="26">
        <f>SUMIFS(BD!$H:$H,BD!$B:$B,Solucao!$B7,BD!$I:$I,Solucao!P$6)</f>
        <v>196705.97999999995</v>
      </c>
      <c r="Q7" s="26">
        <f>SUMIFS(BD!$H:$H,BD!$B:$B,Solucao!$B7,BD!$I:$I,Solucao!Q$6)</f>
        <v>69091.259999999995</v>
      </c>
      <c r="R7" s="26">
        <f>SUMIFS(BD!$H:$H,BD!$B:$B,Solucao!$B7,BD!$I:$I,Solucao!R$6)</f>
        <v>674531.43999999983</v>
      </c>
      <c r="S7" s="27">
        <f>SUM(C7:R7)</f>
        <v>3311818.9849999994</v>
      </c>
      <c r="T7" s="13"/>
    </row>
    <row r="8" spans="1:20" outlineLevel="1" x14ac:dyDescent="0.3">
      <c r="B8" s="8" t="s">
        <v>11</v>
      </c>
      <c r="C8" s="6">
        <f>SUMIFS(BD!$H:$H,BD!$B:$B,Solucao!$B8,BD!$I:$I,Solucao!C$6)</f>
        <v>198086.15999999997</v>
      </c>
      <c r="D8" s="26">
        <f>SUMIFS(BD!$H:$H,BD!$B:$B,Solucao!$B8,BD!$I:$I,Solucao!D$6)</f>
        <v>591456.75999999989</v>
      </c>
      <c r="E8" s="26">
        <f>SUMIFS(BD!$H:$H,BD!$B:$B,Solucao!$B8,BD!$I:$I,Solucao!E$6)</f>
        <v>183404.9</v>
      </c>
      <c r="F8" s="26">
        <f>SUMIFS(BD!$H:$H,BD!$B:$B,Solucao!$B8,BD!$I:$I,Solucao!F$6)</f>
        <v>128097.84999999999</v>
      </c>
      <c r="G8" s="26">
        <f>SUMIFS(BD!$H:$H,BD!$B:$B,Solucao!$B8,BD!$I:$I,Solucao!G$6)</f>
        <v>58587.11</v>
      </c>
      <c r="H8" s="26">
        <f>SUMIFS(BD!$H:$H,BD!$B:$B,Solucao!$B8,BD!$I:$I,Solucao!H$6)</f>
        <v>191413.07</v>
      </c>
      <c r="I8" s="26">
        <f>SUMIFS(BD!$H:$H,BD!$B:$B,Solucao!$B8,BD!$I:$I,Solucao!I$6)</f>
        <v>64259.589999999967</v>
      </c>
      <c r="J8" s="26">
        <f>SUMIFS(BD!$H:$H,BD!$B:$B,Solucao!$B8,BD!$I:$I,Solucao!J$6)</f>
        <v>174819.46000000002</v>
      </c>
      <c r="K8" s="26">
        <f>SUMIFS(BD!$H:$H,BD!$B:$B,Solucao!$B8,BD!$I:$I,Solucao!K$6)</f>
        <v>202055</v>
      </c>
      <c r="L8" s="26">
        <f>SUMIFS(BD!$H:$H,BD!$B:$B,Solucao!$B8,BD!$I:$I,Solucao!L$6)</f>
        <v>289762.23999999993</v>
      </c>
      <c r="M8" s="26">
        <f>SUMIFS(BD!$H:$H,BD!$B:$B,Solucao!$B8,BD!$I:$I,Solucao!M$6)</f>
        <v>54243.749999999884</v>
      </c>
      <c r="N8" s="26">
        <f>SUMIFS(BD!$H:$H,BD!$B:$B,Solucao!$B8,BD!$I:$I,Solucao!N$6)</f>
        <v>63889.169999999955</v>
      </c>
      <c r="O8" s="26">
        <f>SUMIFS(BD!$H:$H,BD!$B:$B,Solucao!$B8,BD!$I:$I,Solucao!O$6)</f>
        <v>219647.90000000002</v>
      </c>
      <c r="P8" s="26">
        <f>SUMIFS(BD!$H:$H,BD!$B:$B,Solucao!$B8,BD!$I:$I,Solucao!P$6)</f>
        <v>556350.31999999983</v>
      </c>
      <c r="Q8" s="26">
        <f>SUMIFS(BD!$H:$H,BD!$B:$B,Solucao!$B8,BD!$I:$I,Solucao!Q$6)</f>
        <v>66102.5</v>
      </c>
      <c r="R8" s="26">
        <f>SUMIFS(BD!$H:$H,BD!$B:$B,Solucao!$B8,BD!$I:$I,Solucao!R$6)</f>
        <v>368946.43999999977</v>
      </c>
      <c r="S8" s="27">
        <f t="shared" ref="S8:S11" si="0">SUM(C8:R8)</f>
        <v>3411122.2199999993</v>
      </c>
    </row>
    <row r="9" spans="1:20" outlineLevel="1" x14ac:dyDescent="0.3">
      <c r="B9" s="8" t="s">
        <v>33</v>
      </c>
      <c r="C9" s="26">
        <f>SUMIFS(BD!$H:$H,BD!$B:$B,Solucao!$B9,BD!$I:$I,Solucao!C$6)</f>
        <v>163646.59</v>
      </c>
      <c r="D9" s="26">
        <f>SUMIFS(BD!$H:$H,BD!$B:$B,Solucao!$B9,BD!$I:$I,Solucao!D$6)</f>
        <v>431439.55999999994</v>
      </c>
      <c r="E9" s="26">
        <f>SUMIFS(BD!$H:$H,BD!$B:$B,Solucao!$B9,BD!$I:$I,Solucao!E$6)</f>
        <v>119334.8</v>
      </c>
      <c r="F9" s="26">
        <f>SUMIFS(BD!$H:$H,BD!$B:$B,Solucao!$B9,BD!$I:$I,Solucao!F$6)</f>
        <v>65419.319999999978</v>
      </c>
      <c r="G9" s="26">
        <f>SUMIFS(BD!$H:$H,BD!$B:$B,Solucao!$B9,BD!$I:$I,Solucao!G$6)</f>
        <v>244987.245</v>
      </c>
      <c r="H9" s="26">
        <f>SUMIFS(BD!$H:$H,BD!$B:$B,Solucao!$B9,BD!$I:$I,Solucao!H$6)</f>
        <v>322598.95999999996</v>
      </c>
      <c r="I9" s="26">
        <f>SUMIFS(BD!$H:$H,BD!$B:$B,Solucao!$B9,BD!$I:$I,Solucao!I$6)</f>
        <v>84952.749999999942</v>
      </c>
      <c r="J9" s="26">
        <f>SUMIFS(BD!$H:$H,BD!$B:$B,Solucao!$B9,BD!$I:$I,Solucao!J$6)</f>
        <v>85575.195000000022</v>
      </c>
      <c r="K9" s="26">
        <f>SUMIFS(BD!$H:$H,BD!$B:$B,Solucao!$B9,BD!$I:$I,Solucao!K$6)</f>
        <v>154955.97</v>
      </c>
      <c r="L9" s="26">
        <f>SUMIFS(BD!$H:$H,BD!$B:$B,Solucao!$B9,BD!$I:$I,Solucao!L$6)</f>
        <v>320159.98</v>
      </c>
      <c r="M9" s="26">
        <f>SUMIFS(BD!$H:$H,BD!$B:$B,Solucao!$B9,BD!$I:$I,Solucao!M$6)</f>
        <v>131731.07999999999</v>
      </c>
      <c r="N9" s="26">
        <f>SUMIFS(BD!$H:$H,BD!$B:$B,Solucao!$B9,BD!$I:$I,Solucao!N$6)</f>
        <v>77569.09</v>
      </c>
      <c r="O9" s="26">
        <f>SUMIFS(BD!$H:$H,BD!$B:$B,Solucao!$B9,BD!$I:$I,Solucao!O$6)</f>
        <v>335038.69</v>
      </c>
      <c r="P9" s="26">
        <f>SUMIFS(BD!$H:$H,BD!$B:$B,Solucao!$B9,BD!$I:$I,Solucao!P$6)</f>
        <v>397736.55999999994</v>
      </c>
      <c r="Q9" s="26">
        <f>SUMIFS(BD!$H:$H,BD!$B:$B,Solucao!$B9,BD!$I:$I,Solucao!Q$6)</f>
        <v>144253.59</v>
      </c>
      <c r="R9" s="26">
        <f>SUMIFS(BD!$H:$H,BD!$B:$B,Solucao!$B9,BD!$I:$I,Solucao!R$6)</f>
        <v>398175.69999999995</v>
      </c>
      <c r="S9" s="27">
        <f t="shared" si="0"/>
        <v>3477575.0799999991</v>
      </c>
    </row>
    <row r="10" spans="1:20" outlineLevel="1" x14ac:dyDescent="0.3">
      <c r="B10" s="8" t="s">
        <v>32</v>
      </c>
      <c r="C10" s="26">
        <f>SUMIFS(BD!$H:$H,BD!$B:$B,Solucao!$B10,BD!$I:$I,Solucao!C$6)</f>
        <v>110315.19999999998</v>
      </c>
      <c r="D10" s="26">
        <f>SUMIFS(BD!$H:$H,BD!$B:$B,Solucao!$B10,BD!$I:$I,Solucao!D$6)</f>
        <v>128860.46000000002</v>
      </c>
      <c r="E10" s="26">
        <f>SUMIFS(BD!$H:$H,BD!$B:$B,Solucao!$B10,BD!$I:$I,Solucao!E$6)</f>
        <v>153294.35999999999</v>
      </c>
      <c r="F10" s="26">
        <f>SUMIFS(BD!$H:$H,BD!$B:$B,Solucao!$B10,BD!$I:$I,Solucao!F$6)</f>
        <v>150701.13999999993</v>
      </c>
      <c r="G10" s="26">
        <f>SUMIFS(BD!$H:$H,BD!$B:$B,Solucao!$B10,BD!$I:$I,Solucao!G$6)</f>
        <v>250287.84999999998</v>
      </c>
      <c r="H10" s="26">
        <f>SUMIFS(BD!$H:$H,BD!$B:$B,Solucao!$B10,BD!$I:$I,Solucao!H$6)</f>
        <v>215471.32</v>
      </c>
      <c r="I10" s="26">
        <f>SUMIFS(BD!$H:$H,BD!$B:$B,Solucao!$B10,BD!$I:$I,Solucao!I$6)</f>
        <v>142129.56</v>
      </c>
      <c r="J10" s="26">
        <f>SUMIFS(BD!$H:$H,BD!$B:$B,Solucao!$B10,BD!$I:$I,Solucao!J$6)</f>
        <v>168409.49</v>
      </c>
      <c r="K10" s="26">
        <f>SUMIFS(BD!$H:$H,BD!$B:$B,Solucao!$B10,BD!$I:$I,Solucao!K$6)</f>
        <v>154197.07</v>
      </c>
      <c r="L10" s="26">
        <f>SUMIFS(BD!$H:$H,BD!$B:$B,Solucao!$B10,BD!$I:$I,Solucao!L$6)</f>
        <v>246224.4</v>
      </c>
      <c r="M10" s="26">
        <f>SUMIFS(BD!$H:$H,BD!$B:$B,Solucao!$B10,BD!$I:$I,Solucao!M$6)</f>
        <v>86134.939999999973</v>
      </c>
      <c r="N10" s="26">
        <f>SUMIFS(BD!$H:$H,BD!$B:$B,Solucao!$B10,BD!$I:$I,Solucao!N$6)</f>
        <v>175341.99999999997</v>
      </c>
      <c r="O10" s="26">
        <f>SUMIFS(BD!$H:$H,BD!$B:$B,Solucao!$B10,BD!$I:$I,Solucao!O$6)</f>
        <v>156096.66000000003</v>
      </c>
      <c r="P10" s="26">
        <f>SUMIFS(BD!$H:$H,BD!$B:$B,Solucao!$B10,BD!$I:$I,Solucao!P$6)</f>
        <v>188430.29999999993</v>
      </c>
      <c r="Q10" s="26">
        <f>SUMIFS(BD!$H:$H,BD!$B:$B,Solucao!$B10,BD!$I:$I,Solucao!Q$6)</f>
        <v>113186.84</v>
      </c>
      <c r="R10" s="26">
        <f>SUMIFS(BD!$H:$H,BD!$B:$B,Solucao!$B10,BD!$I:$I,Solucao!R$6)</f>
        <v>219848.21999999991</v>
      </c>
      <c r="S10" s="27">
        <f t="shared" si="0"/>
        <v>2658929.8099999991</v>
      </c>
    </row>
    <row r="11" spans="1:20" outlineLevel="1" x14ac:dyDescent="0.3">
      <c r="B11" s="8" t="s">
        <v>12</v>
      </c>
      <c r="C11" s="26">
        <f>SUMIFS(BD!$H:$H,BD!$B:$B,Solucao!$B11,BD!$I:$I,Solucao!C$6)</f>
        <v>177685.87000000002</v>
      </c>
      <c r="D11" s="26">
        <f>SUMIFS(BD!$H:$H,BD!$B:$B,Solucao!$B11,BD!$I:$I,Solucao!D$6)</f>
        <v>217220.94</v>
      </c>
      <c r="E11" s="26">
        <f>SUMIFS(BD!$H:$H,BD!$B:$B,Solucao!$B11,BD!$I:$I,Solucao!E$6)</f>
        <v>102633.14</v>
      </c>
      <c r="F11" s="26">
        <f>SUMIFS(BD!$H:$H,BD!$B:$B,Solucao!$B11,BD!$I:$I,Solucao!F$6)</f>
        <v>49325.58</v>
      </c>
      <c r="G11" s="26">
        <f>SUMIFS(BD!$H:$H,BD!$B:$B,Solucao!$B11,BD!$I:$I,Solucao!G$6)</f>
        <v>116443.48499999999</v>
      </c>
      <c r="H11" s="26">
        <f>SUMIFS(BD!$H:$H,BD!$B:$B,Solucao!$B11,BD!$I:$I,Solucao!H$6)</f>
        <v>166919.26</v>
      </c>
      <c r="I11" s="26">
        <f>SUMIFS(BD!$H:$H,BD!$B:$B,Solucao!$B11,BD!$I:$I,Solucao!I$6)</f>
        <v>150248.46999999994</v>
      </c>
      <c r="J11" s="26">
        <f>SUMIFS(BD!$H:$H,BD!$B:$B,Solucao!$B11,BD!$I:$I,Solucao!J$6)</f>
        <v>164046.97499999995</v>
      </c>
      <c r="K11" s="26">
        <f>SUMIFS(BD!$H:$H,BD!$B:$B,Solucao!$B11,BD!$I:$I,Solucao!K$6)</f>
        <v>232963.35</v>
      </c>
      <c r="L11" s="26">
        <f>SUMIFS(BD!$H:$H,BD!$B:$B,Solucao!$B11,BD!$I:$I,Solucao!L$6)</f>
        <v>200346.8</v>
      </c>
      <c r="M11" s="26">
        <f>SUMIFS(BD!$H:$H,BD!$B:$B,Solucao!$B11,BD!$I:$I,Solucao!M$6)</f>
        <v>307180.125</v>
      </c>
      <c r="N11" s="26">
        <f>SUMIFS(BD!$H:$H,BD!$B:$B,Solucao!$B11,BD!$I:$I,Solucao!N$6)</f>
        <v>243563.12</v>
      </c>
      <c r="O11" s="26">
        <f>SUMIFS(BD!$H:$H,BD!$B:$B,Solucao!$B11,BD!$I:$I,Solucao!O$6)</f>
        <v>186228.37999999998</v>
      </c>
      <c r="P11" s="26">
        <f>SUMIFS(BD!$H:$H,BD!$B:$B,Solucao!$B11,BD!$I:$I,Solucao!P$6)</f>
        <v>170168.26</v>
      </c>
      <c r="Q11" s="26">
        <f>SUMIFS(BD!$H:$H,BD!$B:$B,Solucao!$B11,BD!$I:$I,Solucao!Q$6)</f>
        <v>202453.01</v>
      </c>
      <c r="R11" s="26">
        <f>SUMIFS(BD!$H:$H,BD!$B:$B,Solucao!$B11,BD!$I:$I,Solucao!R$6)</f>
        <v>147979.09999999998</v>
      </c>
      <c r="S11" s="27">
        <f t="shared" si="0"/>
        <v>2835405.8649999998</v>
      </c>
    </row>
    <row r="12" spans="1:20" ht="15" outlineLevel="1" thickBot="1" x14ac:dyDescent="0.35">
      <c r="B12" s="14" t="s">
        <v>40</v>
      </c>
      <c r="C12" s="28">
        <f>SUM(C7:C11)</f>
        <v>716099.02999999991</v>
      </c>
      <c r="D12" s="28">
        <f t="shared" ref="D12:S12" si="1">SUM(D7:D11)</f>
        <v>1635666.7999999998</v>
      </c>
      <c r="E12" s="28">
        <f t="shared" si="1"/>
        <v>760877.29999999993</v>
      </c>
      <c r="F12" s="28">
        <f t="shared" si="1"/>
        <v>629011.67999999982</v>
      </c>
      <c r="G12" s="28">
        <f t="shared" si="1"/>
        <v>807450.17999999993</v>
      </c>
      <c r="H12" s="28">
        <f t="shared" si="1"/>
        <v>1146296.49</v>
      </c>
      <c r="I12" s="28">
        <f t="shared" si="1"/>
        <v>501490.86999999988</v>
      </c>
      <c r="J12" s="28">
        <f t="shared" si="1"/>
        <v>823647.57</v>
      </c>
      <c r="K12" s="28">
        <f t="shared" si="1"/>
        <v>823840.05999999994</v>
      </c>
      <c r="L12" s="28">
        <f t="shared" si="1"/>
        <v>1359220.8199999998</v>
      </c>
      <c r="M12" s="28">
        <f t="shared" si="1"/>
        <v>831891.67999999982</v>
      </c>
      <c r="N12" s="28">
        <f t="shared" si="1"/>
        <v>724729.21999999986</v>
      </c>
      <c r="O12" s="28">
        <f t="shared" si="1"/>
        <v>1020670.74</v>
      </c>
      <c r="P12" s="28">
        <f t="shared" si="1"/>
        <v>1509391.4199999997</v>
      </c>
      <c r="Q12" s="28">
        <f t="shared" si="1"/>
        <v>595087.19999999995</v>
      </c>
      <c r="R12" s="28">
        <f t="shared" si="1"/>
        <v>1809480.8999999994</v>
      </c>
      <c r="S12" s="29">
        <f t="shared" si="1"/>
        <v>15694851.959999995</v>
      </c>
    </row>
    <row r="13" spans="1:20" outlineLevel="1" x14ac:dyDescent="0.3"/>
    <row r="14" spans="1:20" outlineLevel="1" x14ac:dyDescent="0.3">
      <c r="B14" s="25" t="s">
        <v>56</v>
      </c>
    </row>
    <row r="15" spans="1:20" outlineLevel="1" x14ac:dyDescent="0.3"/>
    <row r="17" spans="1:20" x14ac:dyDescent="0.3">
      <c r="A17" s="10" t="s">
        <v>43</v>
      </c>
    </row>
    <row r="18" spans="1:20" outlineLevel="1" x14ac:dyDescent="0.3"/>
    <row r="19" spans="1:20" outlineLevel="1" x14ac:dyDescent="0.3">
      <c r="B19" s="9" t="s">
        <v>44</v>
      </c>
    </row>
    <row r="20" spans="1:20" ht="26.4" customHeight="1" outlineLevel="1" x14ac:dyDescent="0.3">
      <c r="B20" s="15" t="s">
        <v>39</v>
      </c>
      <c r="C20" s="16">
        <v>43344</v>
      </c>
      <c r="D20" s="16">
        <v>43374</v>
      </c>
      <c r="E20" s="16">
        <v>43405</v>
      </c>
      <c r="F20" s="16">
        <v>43435</v>
      </c>
      <c r="G20" s="16">
        <v>43466</v>
      </c>
      <c r="H20" s="16">
        <v>43497</v>
      </c>
      <c r="I20" s="16">
        <v>43525</v>
      </c>
      <c r="J20" s="16">
        <v>43556</v>
      </c>
      <c r="K20" s="16">
        <v>43586</v>
      </c>
      <c r="L20" s="16">
        <v>43617</v>
      </c>
      <c r="M20" s="16">
        <v>43647</v>
      </c>
      <c r="N20" s="16">
        <v>43678</v>
      </c>
      <c r="O20" s="16">
        <v>43709</v>
      </c>
      <c r="P20" s="16">
        <v>43739</v>
      </c>
      <c r="Q20" s="16">
        <v>43770</v>
      </c>
      <c r="R20" s="16">
        <v>43800</v>
      </c>
      <c r="S20" s="17" t="s">
        <v>45</v>
      </c>
    </row>
    <row r="21" spans="1:20" outlineLevel="1" x14ac:dyDescent="0.3">
      <c r="B21" s="8" t="s">
        <v>10</v>
      </c>
      <c r="C21" s="26">
        <f>SUMIFS(BD!$F:$F,BD!$B:$B,Solucao!$B21,BD!$I:$I,Solucao!C$20)</f>
        <v>939195.21000000008</v>
      </c>
      <c r="D21" s="26">
        <f>SUMIFS(BD!$F:$F,BD!$B:$B,Solucao!$B21,BD!$I:$I,Solucao!D$20)</f>
        <v>1229608.2799999998</v>
      </c>
      <c r="E21" s="26">
        <f>SUMIFS(BD!$F:$F,BD!$B:$B,Solucao!$B21,BD!$I:$I,Solucao!E$20)</f>
        <v>1419826.1</v>
      </c>
      <c r="F21" s="26">
        <f>SUMIFS(BD!$F:$F,BD!$B:$B,Solucao!$B21,BD!$I:$I,Solucao!F$20)</f>
        <v>1587259.1900000002</v>
      </c>
      <c r="G21" s="26">
        <f>SUMIFS(BD!$F:$F,BD!$B:$B,Solucao!$B21,BD!$I:$I,Solucao!G$20)</f>
        <v>1186256.49</v>
      </c>
      <c r="H21" s="26">
        <f>SUMIFS(BD!$F:$F,BD!$B:$B,Solucao!$B21,BD!$I:$I,Solucao!H$20)</f>
        <v>1482165.9799999997</v>
      </c>
      <c r="I21" s="26">
        <f>SUMIFS(BD!$F:$F,BD!$B:$B,Solucao!$B21,BD!$I:$I,Solucao!I$20)</f>
        <v>811132.5</v>
      </c>
      <c r="J21" s="26">
        <f>SUMIFS(BD!$F:$F,BD!$B:$B,Solucao!$B21,BD!$I:$I,Solucao!J$20)</f>
        <v>1593562.95</v>
      </c>
      <c r="K21" s="26">
        <f>SUMIFS(BD!$F:$F,BD!$B:$B,Solucao!$B21,BD!$I:$I,Solucao!K$20)</f>
        <v>783941.67</v>
      </c>
      <c r="L21" s="26">
        <f>SUMIFS(BD!$F:$F,BD!$B:$B,Solucao!$B21,BD!$I:$I,Solucao!L$20)</f>
        <v>2725979.4</v>
      </c>
      <c r="M21" s="26">
        <f>SUMIFS(BD!$F:$F,BD!$B:$B,Solucao!$B21,BD!$I:$I,Solucao!M$20)</f>
        <v>2109549.2850000001</v>
      </c>
      <c r="N21" s="26">
        <f>SUMIFS(BD!$F:$F,BD!$B:$B,Solucao!$B21,BD!$I:$I,Solucao!N$20)</f>
        <v>952043.03999999992</v>
      </c>
      <c r="O21" s="26">
        <f>SUMIFS(BD!$F:$F,BD!$B:$B,Solucao!$B21,BD!$I:$I,Solucao!O$20)</f>
        <v>938647.61</v>
      </c>
      <c r="P21" s="26">
        <f>SUMIFS(BD!$F:$F,BD!$B:$B,Solucao!$B21,BD!$I:$I,Solucao!P$20)</f>
        <v>2215924.48</v>
      </c>
      <c r="Q21" s="26">
        <f>SUMIFS(BD!$F:$F,BD!$B:$B,Solucao!$B21,BD!$I:$I,Solucao!Q$20)</f>
        <v>952833.26</v>
      </c>
      <c r="R21" s="26">
        <f>SUMIFS(BD!$F:$F,BD!$B:$B,Solucao!$B21,BD!$I:$I,Solucao!R$20)</f>
        <v>3959729.4399999995</v>
      </c>
      <c r="S21" s="27">
        <f>AVERAGE(C21:R21)</f>
        <v>1555478.4303124999</v>
      </c>
      <c r="T21" s="13"/>
    </row>
    <row r="22" spans="1:20" outlineLevel="1" x14ac:dyDescent="0.3">
      <c r="B22" s="8" t="s">
        <v>11</v>
      </c>
      <c r="C22" s="26">
        <f>SUMIFS(BD!$F:$F,BD!$B:$B,Solucao!$B22,BD!$I:$I,Solucao!C$20)</f>
        <v>1095488.1599999999</v>
      </c>
      <c r="D22" s="26">
        <f>SUMIFS(BD!$F:$F,BD!$B:$B,Solucao!$B22,BD!$I:$I,Solucao!D$20)</f>
        <v>2555442.5600000005</v>
      </c>
      <c r="E22" s="26">
        <f>SUMIFS(BD!$F:$F,BD!$B:$B,Solucao!$B22,BD!$I:$I,Solucao!E$20)</f>
        <v>1718947.9</v>
      </c>
      <c r="F22" s="26">
        <f>SUMIFS(BD!$F:$F,BD!$B:$B,Solucao!$B22,BD!$I:$I,Solucao!F$20)</f>
        <v>857856.85000000009</v>
      </c>
      <c r="G22" s="26">
        <f>SUMIFS(BD!$F:$F,BD!$B:$B,Solucao!$B22,BD!$I:$I,Solucao!G$20)</f>
        <v>874935.11</v>
      </c>
      <c r="H22" s="26">
        <f>SUMIFS(BD!$F:$F,BD!$B:$B,Solucao!$B22,BD!$I:$I,Solucao!H$20)</f>
        <v>1347335.8699999999</v>
      </c>
      <c r="I22" s="26">
        <f>SUMIFS(BD!$F:$F,BD!$B:$B,Solucao!$B22,BD!$I:$I,Solucao!I$20)</f>
        <v>479509.58999999997</v>
      </c>
      <c r="J22" s="26">
        <f>SUMIFS(BD!$F:$F,BD!$B:$B,Solucao!$B22,BD!$I:$I,Solucao!J$20)</f>
        <v>1394813.46</v>
      </c>
      <c r="K22" s="26">
        <f>SUMIFS(BD!$F:$F,BD!$B:$B,Solucao!$B22,BD!$I:$I,Solucao!K$20)</f>
        <v>1317483.0000000002</v>
      </c>
      <c r="L22" s="26">
        <f>SUMIFS(BD!$F:$F,BD!$B:$B,Solucao!$B22,BD!$I:$I,Solucao!L$20)</f>
        <v>1630025.2399999998</v>
      </c>
      <c r="M22" s="26">
        <f>SUMIFS(BD!$F:$F,BD!$B:$B,Solucao!$B22,BD!$I:$I,Solucao!M$20)</f>
        <v>1609549.75</v>
      </c>
      <c r="N22" s="26">
        <f>SUMIFS(BD!$F:$F,BD!$B:$B,Solucao!$B22,BD!$I:$I,Solucao!N$20)</f>
        <v>1046755.17</v>
      </c>
      <c r="O22" s="26">
        <f>SUMIFS(BD!$F:$F,BD!$B:$B,Solucao!$B22,BD!$I:$I,Solucao!O$20)</f>
        <v>1255161.9000000001</v>
      </c>
      <c r="P22" s="26">
        <f>SUMIFS(BD!$F:$F,BD!$B:$B,Solucao!$B22,BD!$I:$I,Solucao!P$20)</f>
        <v>3421587.3200000003</v>
      </c>
      <c r="Q22" s="26">
        <f>SUMIFS(BD!$F:$F,BD!$B:$B,Solucao!$B22,BD!$I:$I,Solucao!Q$20)</f>
        <v>617106.5</v>
      </c>
      <c r="R22" s="26">
        <f>SUMIFS(BD!$F:$F,BD!$B:$B,Solucao!$B22,BD!$I:$I,Solucao!R$20)</f>
        <v>2283342.4400000004</v>
      </c>
      <c r="S22" s="27">
        <f t="shared" ref="S22:S26" si="2">AVERAGE(C22:R22)</f>
        <v>1469083.80125</v>
      </c>
    </row>
    <row r="23" spans="1:20" outlineLevel="1" x14ac:dyDescent="0.3">
      <c r="B23" s="8" t="s">
        <v>33</v>
      </c>
      <c r="C23" s="26">
        <f>SUMIFS(BD!$F:$F,BD!$B:$B,Solucao!$B23,BD!$I:$I,Solucao!C$20)</f>
        <v>821599.59000000008</v>
      </c>
      <c r="D23" s="26">
        <f>SUMIFS(BD!$F:$F,BD!$B:$B,Solucao!$B23,BD!$I:$I,Solucao!D$20)</f>
        <v>2390476.9600000004</v>
      </c>
      <c r="E23" s="26">
        <f>SUMIFS(BD!$F:$F,BD!$B:$B,Solucao!$B23,BD!$I:$I,Solucao!E$20)</f>
        <v>985577.3</v>
      </c>
      <c r="F23" s="26">
        <f>SUMIFS(BD!$F:$F,BD!$B:$B,Solucao!$B23,BD!$I:$I,Solucao!F$20)</f>
        <v>935141.32000000007</v>
      </c>
      <c r="G23" s="26">
        <f>SUMIFS(BD!$F:$F,BD!$B:$B,Solucao!$B23,BD!$I:$I,Solucao!G$20)</f>
        <v>1544720.7450000001</v>
      </c>
      <c r="H23" s="26">
        <f>SUMIFS(BD!$F:$F,BD!$B:$B,Solucao!$B23,BD!$I:$I,Solucao!H$20)</f>
        <v>1537438.4600000002</v>
      </c>
      <c r="I23" s="26">
        <f>SUMIFS(BD!$F:$F,BD!$B:$B,Solucao!$B23,BD!$I:$I,Solucao!I$20)</f>
        <v>1559748.75</v>
      </c>
      <c r="J23" s="26">
        <f>SUMIFS(BD!$F:$F,BD!$B:$B,Solucao!$B23,BD!$I:$I,Solucao!J$20)</f>
        <v>1332862.6949999998</v>
      </c>
      <c r="K23" s="26">
        <f>SUMIFS(BD!$F:$F,BD!$B:$B,Solucao!$B23,BD!$I:$I,Solucao!K$20)</f>
        <v>1042776.97</v>
      </c>
      <c r="L23" s="26">
        <f>SUMIFS(BD!$F:$F,BD!$B:$B,Solucao!$B23,BD!$I:$I,Solucao!L$20)</f>
        <v>1629183.9800000002</v>
      </c>
      <c r="M23" s="26">
        <f>SUMIFS(BD!$F:$F,BD!$B:$B,Solucao!$B23,BD!$I:$I,Solucao!M$20)</f>
        <v>1148065.0799999998</v>
      </c>
      <c r="N23" s="26">
        <f>SUMIFS(BD!$F:$F,BD!$B:$B,Solucao!$B23,BD!$I:$I,Solucao!N$20)</f>
        <v>779802.09</v>
      </c>
      <c r="O23" s="26">
        <f>SUMIFS(BD!$F:$F,BD!$B:$B,Solucao!$B23,BD!$I:$I,Solucao!O$20)</f>
        <v>1753192.99</v>
      </c>
      <c r="P23" s="26">
        <f>SUMIFS(BD!$F:$F,BD!$B:$B,Solucao!$B23,BD!$I:$I,Solucao!P$20)</f>
        <v>3379661.5599999996</v>
      </c>
      <c r="Q23" s="26">
        <f>SUMIFS(BD!$F:$F,BD!$B:$B,Solucao!$B23,BD!$I:$I,Solucao!Q$20)</f>
        <v>1123994.5899999999</v>
      </c>
      <c r="R23" s="26">
        <f>SUMIFS(BD!$F:$F,BD!$B:$B,Solucao!$B23,BD!$I:$I,Solucao!R$20)</f>
        <v>2389929.2000000002</v>
      </c>
      <c r="S23" s="27">
        <f t="shared" si="2"/>
        <v>1522135.7674999998</v>
      </c>
    </row>
    <row r="24" spans="1:20" outlineLevel="1" x14ac:dyDescent="0.3">
      <c r="B24" s="8" t="s">
        <v>32</v>
      </c>
      <c r="C24" s="26">
        <f>SUMIFS(BD!$F:$F,BD!$B:$B,Solucao!$B24,BD!$I:$I,Solucao!C$20)</f>
        <v>646694.20000000007</v>
      </c>
      <c r="D24" s="26">
        <f>SUMIFS(BD!$F:$F,BD!$B:$B,Solucao!$B24,BD!$I:$I,Solucao!D$20)</f>
        <v>1166052.56</v>
      </c>
      <c r="E24" s="26">
        <f>SUMIFS(BD!$F:$F,BD!$B:$B,Solucao!$B24,BD!$I:$I,Solucao!E$20)</f>
        <v>1616106.3599999999</v>
      </c>
      <c r="F24" s="26">
        <f>SUMIFS(BD!$F:$F,BD!$B:$B,Solucao!$B24,BD!$I:$I,Solucao!F$20)</f>
        <v>1325568.1400000001</v>
      </c>
      <c r="G24" s="26">
        <f>SUMIFS(BD!$F:$F,BD!$B:$B,Solucao!$B24,BD!$I:$I,Solucao!G$20)</f>
        <v>1655822.8499999999</v>
      </c>
      <c r="H24" s="26">
        <f>SUMIFS(BD!$F:$F,BD!$B:$B,Solucao!$B24,BD!$I:$I,Solucao!H$20)</f>
        <v>1597700.42</v>
      </c>
      <c r="I24" s="26">
        <f>SUMIFS(BD!$F:$F,BD!$B:$B,Solucao!$B24,BD!$I:$I,Solucao!I$20)</f>
        <v>946494.56</v>
      </c>
      <c r="J24" s="26">
        <f>SUMIFS(BD!$F:$F,BD!$B:$B,Solucao!$B24,BD!$I:$I,Solucao!J$20)</f>
        <v>1026911.49</v>
      </c>
      <c r="K24" s="26">
        <f>SUMIFS(BD!$F:$F,BD!$B:$B,Solucao!$B24,BD!$I:$I,Solucao!K$20)</f>
        <v>1116760.07</v>
      </c>
      <c r="L24" s="26">
        <f>SUMIFS(BD!$F:$F,BD!$B:$B,Solucao!$B24,BD!$I:$I,Solucao!L$20)</f>
        <v>2210094.3999999994</v>
      </c>
      <c r="M24" s="26">
        <f>SUMIFS(BD!$F:$F,BD!$B:$B,Solucao!$B24,BD!$I:$I,Solucao!M$20)</f>
        <v>926957.94</v>
      </c>
      <c r="N24" s="26">
        <f>SUMIFS(BD!$F:$F,BD!$B:$B,Solucao!$B24,BD!$I:$I,Solucao!N$20)</f>
        <v>1078756</v>
      </c>
      <c r="O24" s="26">
        <f>SUMIFS(BD!$F:$F,BD!$B:$B,Solucao!$B24,BD!$I:$I,Solucao!O$20)</f>
        <v>1022441.2599999999</v>
      </c>
      <c r="P24" s="26">
        <f>SUMIFS(BD!$F:$F,BD!$B:$B,Solucao!$B24,BD!$I:$I,Solucao!P$20)</f>
        <v>1855574.2999999998</v>
      </c>
      <c r="Q24" s="26">
        <f>SUMIFS(BD!$F:$F,BD!$B:$B,Solucao!$B24,BD!$I:$I,Solucao!Q$20)</f>
        <v>1123522.8399999999</v>
      </c>
      <c r="R24" s="26">
        <f>SUMIFS(BD!$F:$F,BD!$B:$B,Solucao!$B24,BD!$I:$I,Solucao!R$20)</f>
        <v>1633894.72</v>
      </c>
      <c r="S24" s="27">
        <f t="shared" si="2"/>
        <v>1309334.506875</v>
      </c>
    </row>
    <row r="25" spans="1:20" outlineLevel="1" x14ac:dyDescent="0.3">
      <c r="B25" s="8" t="s">
        <v>12</v>
      </c>
      <c r="C25" s="26">
        <f>SUMIFS(BD!$F:$F,BD!$B:$B,Solucao!$B25,BD!$I:$I,Solucao!C$20)</f>
        <v>981022.86999999988</v>
      </c>
      <c r="D25" s="26">
        <f>SUMIFS(BD!$F:$F,BD!$B:$B,Solucao!$B25,BD!$I:$I,Solucao!D$20)</f>
        <v>1954030.74</v>
      </c>
      <c r="E25" s="26">
        <f>SUMIFS(BD!$F:$F,BD!$B:$B,Solucao!$B25,BD!$I:$I,Solucao!E$20)</f>
        <v>1526745.6400000001</v>
      </c>
      <c r="F25" s="26">
        <f>SUMIFS(BD!$F:$F,BD!$B:$B,Solucao!$B25,BD!$I:$I,Solucao!F$20)</f>
        <v>662615.58000000007</v>
      </c>
      <c r="G25" s="26">
        <f>SUMIFS(BD!$F:$F,BD!$B:$B,Solucao!$B25,BD!$I:$I,Solucao!G$20)</f>
        <v>1346026.4850000001</v>
      </c>
      <c r="H25" s="26">
        <f>SUMIFS(BD!$F:$F,BD!$B:$B,Solucao!$B25,BD!$I:$I,Solucao!H$20)</f>
        <v>1332890.6599999999</v>
      </c>
      <c r="I25" s="26">
        <f>SUMIFS(BD!$F:$F,BD!$B:$B,Solucao!$B25,BD!$I:$I,Solucao!I$20)</f>
        <v>1789974.4699999997</v>
      </c>
      <c r="J25" s="26">
        <f>SUMIFS(BD!$F:$F,BD!$B:$B,Solucao!$B25,BD!$I:$I,Solucao!J$20)</f>
        <v>1616624.4749999999</v>
      </c>
      <c r="K25" s="26">
        <f>SUMIFS(BD!$F:$F,BD!$B:$B,Solucao!$B25,BD!$I:$I,Solucao!K$20)</f>
        <v>1949249.35</v>
      </c>
      <c r="L25" s="26">
        <f>SUMIFS(BD!$F:$F,BD!$B:$B,Solucao!$B25,BD!$I:$I,Solucao!L$20)</f>
        <v>1323610.8000000005</v>
      </c>
      <c r="M25" s="26">
        <f>SUMIFS(BD!$F:$F,BD!$B:$B,Solucao!$B25,BD!$I:$I,Solucao!M$20)</f>
        <v>2308798.125</v>
      </c>
      <c r="N25" s="26">
        <f>SUMIFS(BD!$F:$F,BD!$B:$B,Solucao!$B25,BD!$I:$I,Solucao!N$20)</f>
        <v>2007266.12</v>
      </c>
      <c r="O25" s="26">
        <f>SUMIFS(BD!$F:$F,BD!$B:$B,Solucao!$B25,BD!$I:$I,Solucao!O$20)</f>
        <v>1429253.48</v>
      </c>
      <c r="P25" s="26">
        <f>SUMIFS(BD!$F:$F,BD!$B:$B,Solucao!$B25,BD!$I:$I,Solucao!P$20)</f>
        <v>1503072.26</v>
      </c>
      <c r="Q25" s="26">
        <f>SUMIFS(BD!$F:$F,BD!$B:$B,Solucao!$B25,BD!$I:$I,Solucao!Q$20)</f>
        <v>1566757.0099999998</v>
      </c>
      <c r="R25" s="26">
        <f>SUMIFS(BD!$F:$F,BD!$B:$B,Solucao!$B25,BD!$I:$I,Solucao!R$20)</f>
        <v>1731892.1</v>
      </c>
      <c r="S25" s="27">
        <f t="shared" si="2"/>
        <v>1564364.3853125004</v>
      </c>
    </row>
    <row r="26" spans="1:20" ht="15" outlineLevel="1" thickBot="1" x14ac:dyDescent="0.35">
      <c r="B26" s="14" t="s">
        <v>40</v>
      </c>
      <c r="C26" s="28">
        <f>SUM(C21:C25)</f>
        <v>4484000.03</v>
      </c>
      <c r="D26" s="28">
        <f t="shared" ref="D26:R26" si="3">SUM(D21:D25)</f>
        <v>9295611.1000000015</v>
      </c>
      <c r="E26" s="28">
        <f t="shared" si="3"/>
        <v>7267203.3000000007</v>
      </c>
      <c r="F26" s="28">
        <f t="shared" si="3"/>
        <v>5368441.08</v>
      </c>
      <c r="G26" s="28">
        <f t="shared" si="3"/>
        <v>6607761.6800000006</v>
      </c>
      <c r="H26" s="28">
        <f t="shared" si="3"/>
        <v>7297531.3899999997</v>
      </c>
      <c r="I26" s="28">
        <f t="shared" si="3"/>
        <v>5586859.8699999992</v>
      </c>
      <c r="J26" s="28">
        <f t="shared" si="3"/>
        <v>6964775.0700000003</v>
      </c>
      <c r="K26" s="28">
        <f t="shared" si="3"/>
        <v>6210211.0600000005</v>
      </c>
      <c r="L26" s="28">
        <f t="shared" si="3"/>
        <v>9518893.8200000003</v>
      </c>
      <c r="M26" s="28">
        <f t="shared" si="3"/>
        <v>8102920.1799999997</v>
      </c>
      <c r="N26" s="28">
        <f t="shared" si="3"/>
        <v>5864622.4199999999</v>
      </c>
      <c r="O26" s="28">
        <f t="shared" si="3"/>
        <v>6398697.2400000002</v>
      </c>
      <c r="P26" s="30">
        <f t="shared" si="3"/>
        <v>12375819.92</v>
      </c>
      <c r="Q26" s="28">
        <f t="shared" si="3"/>
        <v>5384214.1999999993</v>
      </c>
      <c r="R26" s="28">
        <f t="shared" si="3"/>
        <v>11998787.9</v>
      </c>
      <c r="S26" s="29">
        <f t="shared" si="2"/>
        <v>7420396.8912500013</v>
      </c>
    </row>
    <row r="27" spans="1:20" outlineLevel="1" x14ac:dyDescent="0.3"/>
    <row r="28" spans="1:20" outlineLevel="1" x14ac:dyDescent="0.3">
      <c r="B28" s="25" t="s">
        <v>58</v>
      </c>
    </row>
    <row r="29" spans="1:20" outlineLevel="1" x14ac:dyDescent="0.3">
      <c r="B29" s="25" t="s">
        <v>59</v>
      </c>
    </row>
    <row r="30" spans="1:20" outlineLevel="1" x14ac:dyDescent="0.3">
      <c r="B30" s="8"/>
    </row>
    <row r="32" spans="1:20" x14ac:dyDescent="0.3">
      <c r="A32" s="10" t="s">
        <v>46</v>
      </c>
    </row>
    <row r="33" spans="1:8" outlineLevel="1" x14ac:dyDescent="0.3">
      <c r="A33" s="10"/>
    </row>
    <row r="34" spans="1:8" outlineLevel="1" x14ac:dyDescent="0.3">
      <c r="B34" s="9" t="s">
        <v>57</v>
      </c>
    </row>
    <row r="35" spans="1:8" ht="28.8" outlineLevel="1" x14ac:dyDescent="0.3">
      <c r="B35" s="15" t="s">
        <v>39</v>
      </c>
      <c r="C35" s="18" t="s">
        <v>47</v>
      </c>
      <c r="D35" s="18" t="s">
        <v>48</v>
      </c>
      <c r="E35" s="18" t="s">
        <v>49</v>
      </c>
      <c r="F35" s="18" t="s">
        <v>50</v>
      </c>
      <c r="G35" s="18" t="s">
        <v>0</v>
      </c>
      <c r="H35" s="19" t="s">
        <v>51</v>
      </c>
    </row>
    <row r="36" spans="1:8" outlineLevel="1" x14ac:dyDescent="0.3">
      <c r="B36" s="9" t="s">
        <v>10</v>
      </c>
      <c r="C36" s="26">
        <f>SUMIFS(BD!D:D,BD!$B:$B,Solucao!$B36)</f>
        <v>26932163.5</v>
      </c>
      <c r="D36" s="26">
        <f>SUMIFS(BD!E:E,BD!$B:$B,Solucao!$B36)</f>
        <v>2044508.6149999998</v>
      </c>
      <c r="E36" s="26">
        <f>SUMIFS(BD!F:F,BD!$B:$B,Solucao!$B36)</f>
        <v>24887654.885000005</v>
      </c>
      <c r="F36" s="26">
        <f>SUMIFS(BD!G:G,BD!$B:$B,Solucao!$B36)</f>
        <v>21575835.899999999</v>
      </c>
      <c r="G36" s="26">
        <f>SUMIFS(BD!H:H,BD!$B:$B,Solucao!$B36)</f>
        <v>3311818.9849999999</v>
      </c>
      <c r="H36" s="31">
        <f>G36/E36</f>
        <v>0.13307075336359073</v>
      </c>
    </row>
    <row r="37" spans="1:8" outlineLevel="1" x14ac:dyDescent="0.3">
      <c r="B37" s="9" t="s">
        <v>11</v>
      </c>
      <c r="C37" s="6">
        <f>SUMIFS(BD!D:D,BD!$B:$B,Solucao!$B37)</f>
        <v>24921467.5</v>
      </c>
      <c r="D37" s="6">
        <f>SUMIFS(BD!E:E,BD!$B:$B,Solucao!$B37)</f>
        <v>1416126.68</v>
      </c>
      <c r="E37" s="6">
        <f>SUMIFS(BD!F:F,BD!$B:$B,Solucao!$B37)</f>
        <v>23505340.820000011</v>
      </c>
      <c r="F37" s="6">
        <f>SUMIFS(BD!G:G,BD!$B:$B,Solucao!$B37)</f>
        <v>20094218.600000001</v>
      </c>
      <c r="G37" s="6">
        <f>SUMIFS(BD!H:H,BD!$B:$B,Solucao!$B37)</f>
        <v>3411122.2200000011</v>
      </c>
      <c r="H37" s="33">
        <f t="shared" ref="H37:H41" si="4">G37/E37</f>
        <v>0.14512115549065241</v>
      </c>
    </row>
    <row r="38" spans="1:8" outlineLevel="1" x14ac:dyDescent="0.3">
      <c r="B38" s="9" t="s">
        <v>33</v>
      </c>
      <c r="C38" s="26">
        <f>SUMIFS(BD!D:D,BD!$B:$B,Solucao!$B38)</f>
        <v>26081674.5</v>
      </c>
      <c r="D38" s="26">
        <f>SUMIFS(BD!E:E,BD!$B:$B,Solucao!$B38)</f>
        <v>1727502.2199999997</v>
      </c>
      <c r="E38" s="26">
        <f>SUMIFS(BD!F:F,BD!$B:$B,Solucao!$B38)</f>
        <v>24354172.280000009</v>
      </c>
      <c r="F38" s="26">
        <f>SUMIFS(BD!G:G,BD!$B:$B,Solucao!$B38)</f>
        <v>20876597.200000003</v>
      </c>
      <c r="G38" s="26">
        <f>SUMIFS(BD!H:H,BD!$B:$B,Solucao!$B38)</f>
        <v>3477575.080000001</v>
      </c>
      <c r="H38" s="31">
        <f t="shared" si="4"/>
        <v>0.14279175822599544</v>
      </c>
    </row>
    <row r="39" spans="1:8" outlineLevel="1" x14ac:dyDescent="0.3">
      <c r="B39" s="9" t="s">
        <v>32</v>
      </c>
      <c r="C39" s="26">
        <f>SUMIFS(BD!D:D,BD!$B:$B,Solucao!$B39)</f>
        <v>22726935</v>
      </c>
      <c r="D39" s="26">
        <f>SUMIFS(BD!E:E,BD!$B:$B,Solucao!$B39)</f>
        <v>1777582.8900000001</v>
      </c>
      <c r="E39" s="26">
        <f>SUMIFS(BD!F:F,BD!$B:$B,Solucao!$B39)</f>
        <v>20949352.109999999</v>
      </c>
      <c r="F39" s="26">
        <f>SUMIFS(BD!G:G,BD!$B:$B,Solucao!$B39)</f>
        <v>18290422.299999997</v>
      </c>
      <c r="G39" s="26">
        <f>SUMIFS(BD!H:H,BD!$B:$B,Solucao!$B39)</f>
        <v>2658929.81</v>
      </c>
      <c r="H39" s="31">
        <f t="shared" si="4"/>
        <v>0.12692181581743436</v>
      </c>
    </row>
    <row r="40" spans="1:8" outlineLevel="1" x14ac:dyDescent="0.3">
      <c r="B40" s="9" t="s">
        <v>12</v>
      </c>
      <c r="C40" s="26">
        <f>SUMIFS(BD!D:D,BD!$B:$B,Solucao!$B40)</f>
        <v>27269358</v>
      </c>
      <c r="D40" s="26">
        <f>SUMIFS(BD!E:E,BD!$B:$B,Solucao!$B40)</f>
        <v>2239527.835</v>
      </c>
      <c r="E40" s="34">
        <f>SUMIFS(BD!F:F,BD!$B:$B,Solucao!$B40)</f>
        <v>25029830.165000014</v>
      </c>
      <c r="F40" s="26">
        <f>SUMIFS(BD!G:G,BD!$B:$B,Solucao!$B40)</f>
        <v>22194424.300000001</v>
      </c>
      <c r="G40" s="26">
        <f>SUMIFS(BD!H:H,BD!$B:$B,Solucao!$B40)</f>
        <v>2835405.8649999998</v>
      </c>
      <c r="H40" s="31">
        <f t="shared" si="4"/>
        <v>0.11328106688333968</v>
      </c>
    </row>
    <row r="41" spans="1:8" ht="15" outlineLevel="1" thickBot="1" x14ac:dyDescent="0.35">
      <c r="B41" s="22" t="s">
        <v>40</v>
      </c>
      <c r="C41" s="28">
        <f>SUM(C36:C40)</f>
        <v>127931598.5</v>
      </c>
      <c r="D41" s="30">
        <f t="shared" ref="D41:G41" si="5">SUM(D36:D40)</f>
        <v>9205248.2399999984</v>
      </c>
      <c r="E41" s="28">
        <f t="shared" si="5"/>
        <v>118726350.26000002</v>
      </c>
      <c r="F41" s="28">
        <f t="shared" si="5"/>
        <v>103031498.3</v>
      </c>
      <c r="G41" s="28">
        <f t="shared" si="5"/>
        <v>15694851.960000003</v>
      </c>
      <c r="H41" s="32">
        <f t="shared" si="4"/>
        <v>0.13219350149002046</v>
      </c>
    </row>
    <row r="42" spans="1:8" outlineLevel="1" x14ac:dyDescent="0.3"/>
    <row r="43" spans="1:8" outlineLevel="1" x14ac:dyDescent="0.3">
      <c r="B43" s="25" t="s">
        <v>60</v>
      </c>
    </row>
    <row r="44" spans="1:8" outlineLevel="1" x14ac:dyDescent="0.3">
      <c r="B44" s="25" t="s">
        <v>61</v>
      </c>
    </row>
    <row r="45" spans="1:8" outlineLevel="1" x14ac:dyDescent="0.3">
      <c r="B45" s="25" t="s">
        <v>62</v>
      </c>
    </row>
    <row r="47" spans="1:8" x14ac:dyDescent="0.3">
      <c r="A47" s="10" t="s">
        <v>52</v>
      </c>
    </row>
    <row r="48" spans="1:8" outlineLevel="1" x14ac:dyDescent="0.3">
      <c r="B48" s="9"/>
    </row>
    <row r="49" spans="1:8" ht="28.8" outlineLevel="1" x14ac:dyDescent="0.3">
      <c r="B49" s="15" t="s">
        <v>53</v>
      </c>
      <c r="C49" s="18" t="s">
        <v>47</v>
      </c>
      <c r="D49" s="18" t="s">
        <v>48</v>
      </c>
      <c r="E49" s="18" t="s">
        <v>49</v>
      </c>
      <c r="F49" s="18" t="s">
        <v>50</v>
      </c>
      <c r="G49" s="18" t="s">
        <v>0</v>
      </c>
      <c r="H49" s="19" t="s">
        <v>51</v>
      </c>
    </row>
    <row r="50" spans="1:8" outlineLevel="1" x14ac:dyDescent="0.3">
      <c r="B50" s="9" t="s">
        <v>3</v>
      </c>
      <c r="C50" s="20">
        <f>SUMIFS(BD!D:D,BD!$A:$A,Solucao!$B50)</f>
        <v>56403066.5</v>
      </c>
      <c r="D50" s="20">
        <f>SUMIFS(BD!E:E,BD!$A:$A,Solucao!$B50)</f>
        <v>3898805.8299999991</v>
      </c>
      <c r="E50" s="35">
        <f>SUMIFS(BD!F:F,BD!$A:$A,Solucao!$B50)</f>
        <v>52504260.670000039</v>
      </c>
      <c r="F50" s="20">
        <f>SUMIFS(BD!G:G,BD!$A:$A,Solucao!$B50)</f>
        <v>41584282.5</v>
      </c>
      <c r="G50" s="20">
        <f>SUMIFS(BD!H:H,BD!$A:$A,Solucao!$B50)</f>
        <v>10919978.169999987</v>
      </c>
      <c r="H50" s="21">
        <f>+G50/E50</f>
        <v>0.20798270522528203</v>
      </c>
    </row>
    <row r="51" spans="1:8" outlineLevel="1" x14ac:dyDescent="0.3">
      <c r="B51" s="9" t="s">
        <v>16</v>
      </c>
      <c r="C51" s="20">
        <f>SUMIFS(BD!D:D,BD!$A:$A,Solucao!$B51)</f>
        <v>2582670</v>
      </c>
      <c r="D51" s="20">
        <f>SUMIFS(BD!E:E,BD!$A:$A,Solucao!$B51)</f>
        <v>200786.92499999996</v>
      </c>
      <c r="E51" s="20">
        <f>SUMIFS(BD!F:F,BD!$A:$A,Solucao!$B51)</f>
        <v>2381883.0750000002</v>
      </c>
      <c r="F51" s="20">
        <f>SUMIFS(BD!G:G,BD!$A:$A,Solucao!$B51)</f>
        <v>1746100</v>
      </c>
      <c r="G51" s="20">
        <f>SUMIFS(BD!H:H,BD!$A:$A,Solucao!$B51)</f>
        <v>635783.07499999984</v>
      </c>
      <c r="H51" s="21">
        <f t="shared" ref="H51:H55" si="6">+G51/E51</f>
        <v>0.26692455296110612</v>
      </c>
    </row>
    <row r="52" spans="1:8" outlineLevel="1" x14ac:dyDescent="0.3">
      <c r="B52" s="9" t="s">
        <v>14</v>
      </c>
      <c r="C52" s="20">
        <f>SUMIFS(BD!D:D,BD!$A:$A,Solucao!$B52)</f>
        <v>1935162</v>
      </c>
      <c r="D52" s="20">
        <f>SUMIFS(BD!E:E,BD!$A:$A,Solucao!$B52)</f>
        <v>134568.36000000004</v>
      </c>
      <c r="E52" s="20">
        <f>SUMIFS(BD!F:F,BD!$A:$A,Solucao!$B52)</f>
        <v>1800593.6399999994</v>
      </c>
      <c r="F52" s="20">
        <f>SUMIFS(BD!G:G,BD!$A:$A,Solucao!$B52)</f>
        <v>491233.8</v>
      </c>
      <c r="G52" s="20">
        <f>SUMIFS(BD!H:H,BD!$A:$A,Solucao!$B52)</f>
        <v>1309359.8400000001</v>
      </c>
      <c r="H52" s="36">
        <f t="shared" si="6"/>
        <v>0.72718230860795474</v>
      </c>
    </row>
    <row r="53" spans="1:8" outlineLevel="1" x14ac:dyDescent="0.3">
      <c r="B53" s="9" t="s">
        <v>17</v>
      </c>
      <c r="C53" s="20">
        <f>SUMIFS(BD!D:D,BD!$A:$A,Solucao!$B53)</f>
        <v>21069000</v>
      </c>
      <c r="D53" s="20">
        <f>SUMIFS(BD!E:E,BD!$A:$A,Solucao!$B53)</f>
        <v>1457305.625</v>
      </c>
      <c r="E53" s="20">
        <f>SUMIFS(BD!F:F,BD!$A:$A,Solucao!$B53)</f>
        <v>19611694.375</v>
      </c>
      <c r="F53" s="20">
        <f>SUMIFS(BD!G:G,BD!$A:$A,Solucao!$B53)</f>
        <v>20568882</v>
      </c>
      <c r="G53" s="20">
        <f>SUMIFS(BD!H:H,BD!$A:$A,Solucao!$B53)</f>
        <v>-957187.62500000023</v>
      </c>
      <c r="H53" s="21">
        <f t="shared" si="6"/>
        <v>-4.8806982543036913E-2</v>
      </c>
    </row>
    <row r="54" spans="1:8" outlineLevel="1" x14ac:dyDescent="0.3">
      <c r="B54" s="9" t="s">
        <v>13</v>
      </c>
      <c r="C54" s="20">
        <f>SUMIFS(BD!D:D,BD!$A:$A,Solucao!$B54)</f>
        <v>45941700</v>
      </c>
      <c r="D54" s="20">
        <f>SUMIFS(BD!E:E,BD!$A:$A,Solucao!$B54)</f>
        <v>3513781.5</v>
      </c>
      <c r="E54" s="20">
        <f>SUMIFS(BD!F:F,BD!$A:$A,Solucao!$B54)</f>
        <v>42427918.5</v>
      </c>
      <c r="F54" s="20">
        <f>SUMIFS(BD!G:G,BD!$A:$A,Solucao!$B54)</f>
        <v>38641000</v>
      </c>
      <c r="G54" s="20">
        <f>SUMIFS(BD!H:H,BD!$A:$A,Solucao!$B54)</f>
        <v>3786918.5</v>
      </c>
      <c r="H54" s="21">
        <f t="shared" si="6"/>
        <v>8.9255344921057106E-2</v>
      </c>
    </row>
    <row r="55" spans="1:8" ht="15" outlineLevel="1" thickBot="1" x14ac:dyDescent="0.35">
      <c r="B55" s="22" t="s">
        <v>40</v>
      </c>
      <c r="C55" s="23">
        <f>SUM(C50:C54)</f>
        <v>127931598.5</v>
      </c>
      <c r="D55" s="23">
        <f t="shared" ref="D55:G55" si="7">SUM(D50:D54)</f>
        <v>9205248.2399999984</v>
      </c>
      <c r="E55" s="23">
        <f t="shared" si="7"/>
        <v>118726350.26000005</v>
      </c>
      <c r="F55" s="23">
        <f t="shared" si="7"/>
        <v>103031498.3</v>
      </c>
      <c r="G55" s="23">
        <f t="shared" si="7"/>
        <v>15694851.959999986</v>
      </c>
      <c r="H55" s="24">
        <f t="shared" si="6"/>
        <v>0.13219350149002027</v>
      </c>
    </row>
    <row r="56" spans="1:8" outlineLevel="1" x14ac:dyDescent="0.3">
      <c r="C56" s="13"/>
      <c r="D56" s="13"/>
      <c r="E56" s="13"/>
      <c r="F56" s="13"/>
    </row>
    <row r="57" spans="1:8" outlineLevel="1" x14ac:dyDescent="0.3">
      <c r="B57" s="8" t="s">
        <v>63</v>
      </c>
    </row>
    <row r="58" spans="1:8" outlineLevel="1" x14ac:dyDescent="0.3">
      <c r="B58" s="8" t="s">
        <v>64</v>
      </c>
    </row>
    <row r="60" spans="1:8" x14ac:dyDescent="0.3">
      <c r="A60" s="10" t="s">
        <v>54</v>
      </c>
    </row>
    <row r="61" spans="1:8" outlineLevel="1" x14ac:dyDescent="0.3"/>
    <row r="62" spans="1:8" ht="28.8" outlineLevel="1" x14ac:dyDescent="0.3">
      <c r="B62" s="15" t="s">
        <v>55</v>
      </c>
      <c r="C62" s="18" t="s">
        <v>47</v>
      </c>
      <c r="D62" s="18" t="s">
        <v>48</v>
      </c>
      <c r="E62" s="18" t="s">
        <v>49</v>
      </c>
      <c r="F62" s="18" t="s">
        <v>50</v>
      </c>
      <c r="G62" s="18" t="s">
        <v>0</v>
      </c>
      <c r="H62" s="19" t="s">
        <v>51</v>
      </c>
    </row>
    <row r="63" spans="1:8" outlineLevel="1" x14ac:dyDescent="0.3">
      <c r="B63" s="9" t="s">
        <v>2</v>
      </c>
      <c r="C63" s="20">
        <f>SUMIFS(BD!D:D,BD!$C:$C,Solucao!$B63)</f>
        <v>14937520.5</v>
      </c>
      <c r="D63" s="20">
        <f>SUMIFS(BD!E:E,BD!$C:$C,Solucao!$B63)</f>
        <v>1122212.615</v>
      </c>
      <c r="E63" s="20">
        <f>SUMIFS(BD!F:F,BD!$C:$C,Solucao!$B63)</f>
        <v>13815307.885000004</v>
      </c>
      <c r="F63" s="20">
        <f>SUMIFS(BD!G:G,BD!$C:$C,Solucao!$B63)</f>
        <v>13187353.299999999</v>
      </c>
      <c r="G63" s="20">
        <f>SUMIFS(BD!H:H,BD!$C:$C,Solucao!$B63)</f>
        <v>627954.58499999973</v>
      </c>
      <c r="H63" s="21">
        <f t="shared" ref="H63:H69" si="8">+G63/E63</f>
        <v>4.5453535326693849E-2</v>
      </c>
    </row>
    <row r="64" spans="1:8" outlineLevel="1" x14ac:dyDescent="0.3">
      <c r="B64" s="9" t="s">
        <v>5</v>
      </c>
      <c r="C64" s="20">
        <f>SUMIFS(BD!D:D,BD!$C:$C,Solucao!$B64)</f>
        <v>16549834.5</v>
      </c>
      <c r="D64" s="20">
        <f>SUMIFS(BD!E:E,BD!$C:$C,Solucao!$B64)</f>
        <v>1159032.6200000001</v>
      </c>
      <c r="E64" s="20">
        <f>SUMIFS(BD!F:F,BD!$C:$C,Solucao!$B64)</f>
        <v>15390801.879999995</v>
      </c>
      <c r="F64" s="20">
        <f>SUMIFS(BD!G:G,BD!$C:$C,Solucao!$B64)</f>
        <v>13276047</v>
      </c>
      <c r="G64" s="20">
        <f>SUMIFS(BD!H:H,BD!$C:$C,Solucao!$B64)</f>
        <v>2114754.8800000004</v>
      </c>
      <c r="H64" s="21">
        <f t="shared" si="8"/>
        <v>0.13740381407599545</v>
      </c>
    </row>
    <row r="65" spans="2:8" outlineLevel="1" x14ac:dyDescent="0.3">
      <c r="B65" s="9" t="s">
        <v>6</v>
      </c>
      <c r="C65" s="20">
        <f>SUMIFS(BD!D:D,BD!$C:$C,Solucao!$B65)</f>
        <v>35611662</v>
      </c>
      <c r="D65" s="20">
        <f>SUMIFS(BD!E:E,BD!$C:$C,Solucao!$B65)</f>
        <v>2600518.0500000003</v>
      </c>
      <c r="E65" s="20">
        <f>SUMIFS(BD!F:F,BD!$C:$C,Solucao!$B65)</f>
        <v>33011143.95000001</v>
      </c>
      <c r="F65" s="20">
        <f>SUMIFS(BD!G:G,BD!$C:$C,Solucao!$B65)</f>
        <v>28213706</v>
      </c>
      <c r="G65" s="20">
        <f>SUMIFS(BD!H:H,BD!$C:$C,Solucao!$B65)</f>
        <v>4797437.9499999993</v>
      </c>
      <c r="H65" s="21">
        <f t="shared" si="8"/>
        <v>0.14532783102780047</v>
      </c>
    </row>
    <row r="66" spans="2:8" outlineLevel="1" x14ac:dyDescent="0.3">
      <c r="B66" s="9" t="s">
        <v>7</v>
      </c>
      <c r="C66" s="20">
        <f>SUMIFS(BD!D:D,BD!$C:$C,Solucao!$B66)</f>
        <v>19826768.5</v>
      </c>
      <c r="D66" s="20">
        <f>SUMIFS(BD!E:E,BD!$C:$C,Solucao!$B66)</f>
        <v>1576709.0350000004</v>
      </c>
      <c r="E66" s="20">
        <f>SUMIFS(BD!F:F,BD!$C:$C,Solucao!$B66)</f>
        <v>18250059.465</v>
      </c>
      <c r="F66" s="20">
        <f>SUMIFS(BD!G:G,BD!$C:$C,Solucao!$B66)</f>
        <v>15944067</v>
      </c>
      <c r="G66" s="20">
        <f>SUMIFS(BD!H:H,BD!$C:$C,Solucao!$B66)</f>
        <v>2305992.4649999999</v>
      </c>
      <c r="H66" s="21">
        <f t="shared" si="8"/>
        <v>0.12635533979614899</v>
      </c>
    </row>
    <row r="67" spans="2:8" outlineLevel="1" x14ac:dyDescent="0.3">
      <c r="B67" s="9" t="s">
        <v>8</v>
      </c>
      <c r="C67" s="20">
        <f>SUMIFS(BD!D:D,BD!$C:$C,Solucao!$B67)</f>
        <v>21968533.5</v>
      </c>
      <c r="D67" s="20">
        <f>SUMIFS(BD!E:E,BD!$C:$C,Solucao!$B67)</f>
        <v>1456612.4799999995</v>
      </c>
      <c r="E67" s="20">
        <f>SUMIFS(BD!F:F,BD!$C:$C,Solucao!$B67)</f>
        <v>20511921.02</v>
      </c>
      <c r="F67" s="20">
        <f>SUMIFS(BD!G:G,BD!$C:$C,Solucao!$B67)</f>
        <v>17477313</v>
      </c>
      <c r="G67" s="20">
        <f>SUMIFS(BD!H:H,BD!$C:$C,Solucao!$B67)</f>
        <v>3034608.0200000005</v>
      </c>
      <c r="H67" s="21">
        <f t="shared" si="8"/>
        <v>0.14794362834378741</v>
      </c>
    </row>
    <row r="68" spans="2:8" outlineLevel="1" x14ac:dyDescent="0.3">
      <c r="B68" s="9" t="s">
        <v>9</v>
      </c>
      <c r="C68" s="20">
        <f>SUMIFS(BD!D:D,BD!$C:$C,Solucao!$B68)</f>
        <v>19037279.5</v>
      </c>
      <c r="D68" s="20">
        <f>SUMIFS(BD!E:E,BD!$C:$C,Solucao!$B68)</f>
        <v>1290163.4400000002</v>
      </c>
      <c r="E68" s="20">
        <f>SUMIFS(BD!F:F,BD!$C:$C,Solucao!$B68)</f>
        <v>17747116.059999999</v>
      </c>
      <c r="F68" s="20">
        <f>SUMIFS(BD!G:G,BD!$C:$C,Solucao!$B68)</f>
        <v>14933012</v>
      </c>
      <c r="G68" s="20">
        <f>SUMIFS(BD!H:H,BD!$C:$C,Solucao!$B68)</f>
        <v>2814104.06</v>
      </c>
      <c r="H68" s="21">
        <f t="shared" si="8"/>
        <v>0.15856683702782975</v>
      </c>
    </row>
    <row r="69" spans="2:8" ht="15" outlineLevel="1" thickBot="1" x14ac:dyDescent="0.35">
      <c r="B69" s="22" t="s">
        <v>40</v>
      </c>
      <c r="C69" s="23">
        <f>SUM(C63:C68)</f>
        <v>127931598.5</v>
      </c>
      <c r="D69" s="23">
        <f t="shared" ref="D69:G69" si="9">SUM(D63:D68)</f>
        <v>9205248.2400000002</v>
      </c>
      <c r="E69" s="23">
        <f t="shared" si="9"/>
        <v>118726350.26000001</v>
      </c>
      <c r="F69" s="23">
        <f t="shared" si="9"/>
        <v>103031498.3</v>
      </c>
      <c r="G69" s="23">
        <f t="shared" si="9"/>
        <v>15694851.959999999</v>
      </c>
      <c r="H69" s="37">
        <f t="shared" si="8"/>
        <v>0.13219350149002043</v>
      </c>
    </row>
    <row r="70" spans="2:8" outlineLevel="1" x14ac:dyDescent="0.3">
      <c r="C70" s="13"/>
      <c r="D70" s="13"/>
      <c r="E70" s="13"/>
      <c r="F70" s="13"/>
      <c r="G70" s="13"/>
    </row>
    <row r="71" spans="2:8" x14ac:dyDescent="0.3">
      <c r="B71" s="8" t="s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3ABB-5C50-4741-96FD-9001824A9F67}">
  <dimension ref="A1:L701"/>
  <sheetViews>
    <sheetView tabSelected="1" topLeftCell="A675" workbookViewId="0">
      <selection sqref="A1:K701"/>
    </sheetView>
  </sheetViews>
  <sheetFormatPr defaultRowHeight="14.4" x14ac:dyDescent="0.3"/>
  <cols>
    <col min="1" max="1" width="20.33203125" customWidth="1"/>
    <col min="3" max="3" width="12.33203125" bestFit="1" customWidth="1"/>
    <col min="4" max="4" width="15.6640625" style="2" bestFit="1" customWidth="1"/>
    <col min="5" max="5" width="12.109375" style="2" bestFit="1" customWidth="1"/>
    <col min="6" max="6" width="22.109375" style="2" bestFit="1" customWidth="1"/>
    <col min="7" max="7" width="16" style="2" bestFit="1" customWidth="1"/>
    <col min="8" max="8" width="12.109375" style="2" bestFit="1" customWidth="1"/>
    <col min="9" max="9" width="12.33203125" style="1" customWidth="1"/>
  </cols>
  <sheetData>
    <row r="1" spans="1:12" x14ac:dyDescent="0.3">
      <c r="A1" s="3" t="s">
        <v>35</v>
      </c>
      <c r="B1" s="3" t="s">
        <v>1</v>
      </c>
      <c r="C1" s="3" t="s">
        <v>4</v>
      </c>
      <c r="D1" s="4" t="s">
        <v>36</v>
      </c>
      <c r="E1" s="4" t="s">
        <v>15</v>
      </c>
      <c r="F1" s="4" t="s">
        <v>37</v>
      </c>
      <c r="G1" s="4" t="s">
        <v>34</v>
      </c>
      <c r="H1" s="4" t="s">
        <v>0</v>
      </c>
      <c r="I1" s="5" t="s">
        <v>18</v>
      </c>
      <c r="J1" s="3" t="s">
        <v>19</v>
      </c>
      <c r="K1" s="3" t="s">
        <v>20</v>
      </c>
    </row>
    <row r="2" spans="1:12" x14ac:dyDescent="0.3">
      <c r="A2" t="s">
        <v>3</v>
      </c>
      <c r="B2" t="s">
        <v>10</v>
      </c>
      <c r="C2" t="s">
        <v>2</v>
      </c>
      <c r="D2" s="2">
        <v>32370</v>
      </c>
      <c r="E2" s="2">
        <v>0</v>
      </c>
      <c r="F2" s="2">
        <v>32370</v>
      </c>
      <c r="G2" s="2">
        <v>17803.5</v>
      </c>
      <c r="H2" s="2">
        <v>14566.5</v>
      </c>
      <c r="I2" s="1">
        <v>43466</v>
      </c>
      <c r="J2" t="s">
        <v>21</v>
      </c>
      <c r="K2">
        <v>2019</v>
      </c>
      <c r="L2" s="2"/>
    </row>
    <row r="3" spans="1:12" x14ac:dyDescent="0.3">
      <c r="A3" t="s">
        <v>3</v>
      </c>
      <c r="B3" t="s">
        <v>11</v>
      </c>
      <c r="C3" t="s">
        <v>2</v>
      </c>
      <c r="D3" s="2">
        <v>26420</v>
      </c>
      <c r="E3" s="2">
        <v>0</v>
      </c>
      <c r="F3" s="2">
        <v>26420</v>
      </c>
      <c r="G3" s="2">
        <v>14531.000000000002</v>
      </c>
      <c r="H3" s="2">
        <v>11888.999999999998</v>
      </c>
      <c r="I3" s="1">
        <v>43466</v>
      </c>
      <c r="J3" t="s">
        <v>21</v>
      </c>
      <c r="K3">
        <v>2019</v>
      </c>
      <c r="L3" s="2"/>
    </row>
    <row r="4" spans="1:12" x14ac:dyDescent="0.3">
      <c r="A4" t="s">
        <v>16</v>
      </c>
      <c r="B4" t="s">
        <v>33</v>
      </c>
      <c r="C4" t="s">
        <v>2</v>
      </c>
      <c r="D4" s="2">
        <v>32670</v>
      </c>
      <c r="E4" s="2">
        <v>0</v>
      </c>
      <c r="F4" s="2">
        <v>32670</v>
      </c>
      <c r="G4" s="2">
        <v>23958.000000000004</v>
      </c>
      <c r="H4" s="2">
        <v>8711.9999999999964</v>
      </c>
      <c r="I4" s="1">
        <v>43617</v>
      </c>
      <c r="J4" t="s">
        <v>23</v>
      </c>
      <c r="K4">
        <v>2019</v>
      </c>
      <c r="L4" s="2"/>
    </row>
    <row r="5" spans="1:12" x14ac:dyDescent="0.3">
      <c r="A5" t="s">
        <v>16</v>
      </c>
      <c r="B5" t="s">
        <v>11</v>
      </c>
      <c r="C5" t="s">
        <v>2</v>
      </c>
      <c r="D5" s="2">
        <v>13320</v>
      </c>
      <c r="E5" s="2">
        <v>0</v>
      </c>
      <c r="F5" s="2">
        <v>13320</v>
      </c>
      <c r="G5" s="2">
        <v>9768</v>
      </c>
      <c r="H5" s="2">
        <v>3552</v>
      </c>
      <c r="I5" s="1">
        <v>43617</v>
      </c>
      <c r="J5" t="s">
        <v>23</v>
      </c>
      <c r="K5">
        <v>2019</v>
      </c>
      <c r="L5" s="2"/>
    </row>
    <row r="6" spans="1:12" x14ac:dyDescent="0.3">
      <c r="A6" t="s">
        <v>16</v>
      </c>
      <c r="B6" t="s">
        <v>32</v>
      </c>
      <c r="C6" t="s">
        <v>2</v>
      </c>
      <c r="D6" s="2">
        <v>37050</v>
      </c>
      <c r="E6" s="2">
        <v>0</v>
      </c>
      <c r="F6" s="2">
        <v>37050</v>
      </c>
      <c r="G6" s="2">
        <v>27170.000000000004</v>
      </c>
      <c r="H6" s="2">
        <v>9879.9999999999964</v>
      </c>
      <c r="I6" s="1">
        <v>43617</v>
      </c>
      <c r="J6" t="s">
        <v>23</v>
      </c>
      <c r="K6">
        <v>2019</v>
      </c>
      <c r="L6" s="2"/>
    </row>
    <row r="7" spans="1:12" x14ac:dyDescent="0.3">
      <c r="A7" t="s">
        <v>3</v>
      </c>
      <c r="B7" t="s">
        <v>11</v>
      </c>
      <c r="C7" t="s">
        <v>2</v>
      </c>
      <c r="D7" s="2">
        <v>529550</v>
      </c>
      <c r="E7" s="2">
        <v>0</v>
      </c>
      <c r="F7" s="2">
        <v>529550</v>
      </c>
      <c r="G7" s="2">
        <v>432718.00000000006</v>
      </c>
      <c r="H7" s="2">
        <v>96831.999999999942</v>
      </c>
      <c r="I7" s="1">
        <v>43800</v>
      </c>
      <c r="J7" t="s">
        <v>24</v>
      </c>
      <c r="K7">
        <v>2019</v>
      </c>
      <c r="L7" s="2"/>
    </row>
    <row r="8" spans="1:12" x14ac:dyDescent="0.3">
      <c r="A8" t="s">
        <v>16</v>
      </c>
      <c r="B8" t="s">
        <v>11</v>
      </c>
      <c r="C8" t="s">
        <v>5</v>
      </c>
      <c r="D8" s="2">
        <v>13815</v>
      </c>
      <c r="E8" s="2">
        <v>0</v>
      </c>
      <c r="F8" s="2">
        <v>13815</v>
      </c>
      <c r="G8" s="2">
        <v>9210</v>
      </c>
      <c r="H8" s="2">
        <v>4605</v>
      </c>
      <c r="I8" s="1">
        <v>43525</v>
      </c>
      <c r="J8" t="s">
        <v>25</v>
      </c>
      <c r="K8">
        <v>2019</v>
      </c>
      <c r="L8" s="2"/>
    </row>
    <row r="9" spans="1:12" x14ac:dyDescent="0.3">
      <c r="A9" t="s">
        <v>14</v>
      </c>
      <c r="B9" t="s">
        <v>10</v>
      </c>
      <c r="C9" t="s">
        <v>5</v>
      </c>
      <c r="D9" s="2">
        <v>30216</v>
      </c>
      <c r="E9" s="2">
        <v>0</v>
      </c>
      <c r="F9" s="2">
        <v>30216</v>
      </c>
      <c r="G9" s="2">
        <v>7554</v>
      </c>
      <c r="H9" s="2">
        <v>22662</v>
      </c>
      <c r="I9" s="1">
        <v>43617</v>
      </c>
      <c r="J9" t="s">
        <v>23</v>
      </c>
      <c r="K9">
        <v>2019</v>
      </c>
      <c r="L9" s="2"/>
    </row>
    <row r="10" spans="1:12" x14ac:dyDescent="0.3">
      <c r="A10" t="s">
        <v>3</v>
      </c>
      <c r="B10" t="s">
        <v>33</v>
      </c>
      <c r="C10" t="s">
        <v>5</v>
      </c>
      <c r="D10" s="2">
        <v>37980</v>
      </c>
      <c r="E10" s="2">
        <v>0</v>
      </c>
      <c r="F10" s="2">
        <v>37980</v>
      </c>
      <c r="G10" s="2">
        <v>18990</v>
      </c>
      <c r="H10" s="2">
        <v>18990</v>
      </c>
      <c r="I10" s="1">
        <v>43617</v>
      </c>
      <c r="J10" t="s">
        <v>23</v>
      </c>
      <c r="K10">
        <v>2019</v>
      </c>
      <c r="L10" s="2"/>
    </row>
    <row r="11" spans="1:12" x14ac:dyDescent="0.3">
      <c r="A11" t="s">
        <v>14</v>
      </c>
      <c r="B11" t="s">
        <v>11</v>
      </c>
      <c r="C11" t="s">
        <v>5</v>
      </c>
      <c r="D11" s="2">
        <v>18540</v>
      </c>
      <c r="E11" s="2">
        <v>0</v>
      </c>
      <c r="F11" s="2">
        <v>18540</v>
      </c>
      <c r="G11" s="2">
        <v>4635</v>
      </c>
      <c r="H11" s="2">
        <v>13905</v>
      </c>
      <c r="I11" s="1">
        <v>43617</v>
      </c>
      <c r="J11" t="s">
        <v>23</v>
      </c>
      <c r="K11">
        <v>2019</v>
      </c>
      <c r="L11" s="2"/>
    </row>
    <row r="12" spans="1:12" x14ac:dyDescent="0.3">
      <c r="A12" t="s">
        <v>16</v>
      </c>
      <c r="B12" t="s">
        <v>32</v>
      </c>
      <c r="C12" t="s">
        <v>5</v>
      </c>
      <c r="D12" s="2">
        <v>37050</v>
      </c>
      <c r="E12" s="2">
        <v>0</v>
      </c>
      <c r="F12" s="2">
        <v>37050</v>
      </c>
      <c r="G12" s="2">
        <v>24700</v>
      </c>
      <c r="H12" s="2">
        <v>12350</v>
      </c>
      <c r="I12" s="1">
        <v>43617</v>
      </c>
      <c r="J12" t="s">
        <v>23</v>
      </c>
      <c r="K12">
        <v>2019</v>
      </c>
      <c r="L12" s="2"/>
    </row>
    <row r="13" spans="1:12" x14ac:dyDescent="0.3">
      <c r="A13" t="s">
        <v>17</v>
      </c>
      <c r="B13" t="s">
        <v>10</v>
      </c>
      <c r="C13" t="s">
        <v>5</v>
      </c>
      <c r="D13" s="2">
        <v>333187.5</v>
      </c>
      <c r="E13" s="2">
        <v>0</v>
      </c>
      <c r="F13" s="2">
        <v>333187.5</v>
      </c>
      <c r="G13" s="2">
        <v>319860</v>
      </c>
      <c r="H13" s="2">
        <v>13327.5</v>
      </c>
      <c r="I13" s="1">
        <v>43647</v>
      </c>
      <c r="J13" t="s">
        <v>26</v>
      </c>
      <c r="K13">
        <v>2019</v>
      </c>
      <c r="L13" s="2"/>
    </row>
    <row r="14" spans="1:12" x14ac:dyDescent="0.3">
      <c r="A14" t="s">
        <v>13</v>
      </c>
      <c r="B14" t="s">
        <v>32</v>
      </c>
      <c r="C14" t="s">
        <v>5</v>
      </c>
      <c r="D14" s="2">
        <v>287400</v>
      </c>
      <c r="E14" s="2">
        <v>0</v>
      </c>
      <c r="F14" s="2">
        <v>287400</v>
      </c>
      <c r="G14" s="2">
        <v>239500</v>
      </c>
      <c r="H14" s="2">
        <v>47900</v>
      </c>
      <c r="I14" s="1">
        <v>43678</v>
      </c>
      <c r="J14" t="s">
        <v>27</v>
      </c>
      <c r="K14">
        <v>2019</v>
      </c>
      <c r="L14" s="2"/>
    </row>
    <row r="15" spans="1:12" x14ac:dyDescent="0.3">
      <c r="A15" t="s">
        <v>3</v>
      </c>
      <c r="B15" t="s">
        <v>11</v>
      </c>
      <c r="C15" t="s">
        <v>5</v>
      </c>
      <c r="D15" s="2">
        <v>15022</v>
      </c>
      <c r="E15" s="2">
        <v>0</v>
      </c>
      <c r="F15" s="2">
        <v>15022</v>
      </c>
      <c r="G15" s="2">
        <v>10730</v>
      </c>
      <c r="H15" s="2">
        <v>4292</v>
      </c>
      <c r="I15" s="1">
        <v>43709</v>
      </c>
      <c r="J15" t="s">
        <v>28</v>
      </c>
      <c r="K15">
        <v>2019</v>
      </c>
      <c r="L15" s="2"/>
    </row>
    <row r="16" spans="1:12" x14ac:dyDescent="0.3">
      <c r="A16" t="s">
        <v>17</v>
      </c>
      <c r="B16" t="s">
        <v>10</v>
      </c>
      <c r="C16" t="s">
        <v>5</v>
      </c>
      <c r="D16" s="2">
        <v>43125</v>
      </c>
      <c r="E16" s="2">
        <v>0</v>
      </c>
      <c r="F16" s="2">
        <v>43125</v>
      </c>
      <c r="G16" s="2">
        <v>41400</v>
      </c>
      <c r="H16" s="2">
        <v>1725</v>
      </c>
      <c r="I16" s="1">
        <v>43374</v>
      </c>
      <c r="J16" t="s">
        <v>29</v>
      </c>
      <c r="K16">
        <v>2018</v>
      </c>
      <c r="L16" s="2"/>
    </row>
    <row r="17" spans="1:12" x14ac:dyDescent="0.3">
      <c r="A17" t="s">
        <v>16</v>
      </c>
      <c r="B17" t="s">
        <v>12</v>
      </c>
      <c r="C17" t="s">
        <v>5</v>
      </c>
      <c r="D17" s="2">
        <v>9225</v>
      </c>
      <c r="E17" s="2">
        <v>0</v>
      </c>
      <c r="F17" s="2">
        <v>9225</v>
      </c>
      <c r="G17" s="2">
        <v>6150</v>
      </c>
      <c r="H17" s="2">
        <v>3075</v>
      </c>
      <c r="I17" s="1">
        <v>43800</v>
      </c>
      <c r="J17" t="s">
        <v>24</v>
      </c>
      <c r="K17">
        <v>2019</v>
      </c>
      <c r="L17" s="2"/>
    </row>
    <row r="18" spans="1:12" x14ac:dyDescent="0.3">
      <c r="A18" t="s">
        <v>3</v>
      </c>
      <c r="B18" t="s">
        <v>10</v>
      </c>
      <c r="C18" t="s">
        <v>6</v>
      </c>
      <c r="D18" s="2">
        <v>5840</v>
      </c>
      <c r="E18" s="2">
        <v>0</v>
      </c>
      <c r="F18" s="2">
        <v>5840</v>
      </c>
      <c r="G18" s="2">
        <v>2920</v>
      </c>
      <c r="H18" s="2">
        <v>2920</v>
      </c>
      <c r="I18" s="1">
        <v>43497</v>
      </c>
      <c r="J18" t="s">
        <v>22</v>
      </c>
      <c r="K18">
        <v>2019</v>
      </c>
      <c r="L18" s="2"/>
    </row>
    <row r="19" spans="1:12" x14ac:dyDescent="0.3">
      <c r="A19" t="s">
        <v>16</v>
      </c>
      <c r="B19" t="s">
        <v>32</v>
      </c>
      <c r="C19" t="s">
        <v>6</v>
      </c>
      <c r="D19" s="2">
        <v>14610</v>
      </c>
      <c r="E19" s="2">
        <v>0</v>
      </c>
      <c r="F19" s="2">
        <v>14610</v>
      </c>
      <c r="G19" s="2">
        <v>9740</v>
      </c>
      <c r="H19" s="2">
        <v>4870</v>
      </c>
      <c r="I19" s="1">
        <v>43497</v>
      </c>
      <c r="J19" t="s">
        <v>22</v>
      </c>
      <c r="K19">
        <v>2019</v>
      </c>
      <c r="L19" s="2"/>
    </row>
    <row r="20" spans="1:12" x14ac:dyDescent="0.3">
      <c r="A20" t="s">
        <v>14</v>
      </c>
      <c r="B20" t="s">
        <v>10</v>
      </c>
      <c r="C20" t="s">
        <v>6</v>
      </c>
      <c r="D20" s="2">
        <v>30216</v>
      </c>
      <c r="E20" s="2">
        <v>0</v>
      </c>
      <c r="F20" s="2">
        <v>30216</v>
      </c>
      <c r="G20" s="2">
        <v>7554</v>
      </c>
      <c r="H20" s="2">
        <v>22662</v>
      </c>
      <c r="I20" s="1">
        <v>43617</v>
      </c>
      <c r="J20" t="s">
        <v>23</v>
      </c>
      <c r="K20">
        <v>2019</v>
      </c>
      <c r="L20" s="2"/>
    </row>
    <row r="21" spans="1:12" x14ac:dyDescent="0.3">
      <c r="A21" t="s">
        <v>3</v>
      </c>
      <c r="B21" t="s">
        <v>11</v>
      </c>
      <c r="C21" t="s">
        <v>6</v>
      </c>
      <c r="D21" s="2">
        <v>352100</v>
      </c>
      <c r="E21" s="2">
        <v>0</v>
      </c>
      <c r="F21" s="2">
        <v>352100</v>
      </c>
      <c r="G21" s="2">
        <v>261560</v>
      </c>
      <c r="H21" s="2">
        <v>90540</v>
      </c>
      <c r="I21" s="1">
        <v>43617</v>
      </c>
      <c r="J21" t="s">
        <v>23</v>
      </c>
      <c r="K21">
        <v>2019</v>
      </c>
      <c r="L21" s="2"/>
    </row>
    <row r="22" spans="1:12" x14ac:dyDescent="0.3">
      <c r="A22" t="s">
        <v>14</v>
      </c>
      <c r="B22" t="s">
        <v>11</v>
      </c>
      <c r="C22" t="s">
        <v>6</v>
      </c>
      <c r="D22" s="2">
        <v>4404</v>
      </c>
      <c r="E22" s="2">
        <v>0</v>
      </c>
      <c r="F22" s="2">
        <v>4404</v>
      </c>
      <c r="G22" s="2">
        <v>1101</v>
      </c>
      <c r="H22" s="2">
        <v>3303</v>
      </c>
      <c r="I22" s="1">
        <v>43647</v>
      </c>
      <c r="J22" t="s">
        <v>26</v>
      </c>
      <c r="K22">
        <v>2019</v>
      </c>
      <c r="L22" s="2"/>
    </row>
    <row r="23" spans="1:12" x14ac:dyDescent="0.3">
      <c r="A23" t="s">
        <v>3</v>
      </c>
      <c r="B23" t="s">
        <v>32</v>
      </c>
      <c r="C23" t="s">
        <v>6</v>
      </c>
      <c r="D23" s="2">
        <v>6181</v>
      </c>
      <c r="E23" s="2">
        <v>0</v>
      </c>
      <c r="F23" s="2">
        <v>6181</v>
      </c>
      <c r="G23" s="2">
        <v>4415</v>
      </c>
      <c r="H23" s="2">
        <v>1766</v>
      </c>
      <c r="I23" s="1">
        <v>43678</v>
      </c>
      <c r="J23" t="s">
        <v>27</v>
      </c>
      <c r="K23">
        <v>2019</v>
      </c>
      <c r="L23" s="2"/>
    </row>
    <row r="24" spans="1:12" x14ac:dyDescent="0.3">
      <c r="A24" t="s">
        <v>16</v>
      </c>
      <c r="B24" t="s">
        <v>33</v>
      </c>
      <c r="C24" t="s">
        <v>6</v>
      </c>
      <c r="D24" s="2">
        <v>8235</v>
      </c>
      <c r="E24" s="2">
        <v>0</v>
      </c>
      <c r="F24" s="2">
        <v>8235</v>
      </c>
      <c r="G24" s="2">
        <v>5490</v>
      </c>
      <c r="H24" s="2">
        <v>2745</v>
      </c>
      <c r="I24" s="1">
        <v>43344</v>
      </c>
      <c r="J24" t="s">
        <v>28</v>
      </c>
      <c r="K24">
        <v>2018</v>
      </c>
      <c r="L24" s="2"/>
    </row>
    <row r="25" spans="1:12" x14ac:dyDescent="0.3">
      <c r="A25" t="s">
        <v>13</v>
      </c>
      <c r="B25" t="s">
        <v>32</v>
      </c>
      <c r="C25" t="s">
        <v>6</v>
      </c>
      <c r="D25" s="2">
        <v>236400</v>
      </c>
      <c r="E25" s="2">
        <v>0</v>
      </c>
      <c r="F25" s="2">
        <v>236400</v>
      </c>
      <c r="G25" s="2">
        <v>197000</v>
      </c>
      <c r="H25" s="2">
        <v>39400</v>
      </c>
      <c r="I25" s="1">
        <v>43344</v>
      </c>
      <c r="J25" t="s">
        <v>28</v>
      </c>
      <c r="K25">
        <v>2018</v>
      </c>
      <c r="L25" s="2"/>
    </row>
    <row r="26" spans="1:12" x14ac:dyDescent="0.3">
      <c r="A26" t="s">
        <v>16</v>
      </c>
      <c r="B26" t="s">
        <v>32</v>
      </c>
      <c r="C26" t="s">
        <v>6</v>
      </c>
      <c r="D26" s="2">
        <v>37080</v>
      </c>
      <c r="E26" s="2">
        <v>0</v>
      </c>
      <c r="F26" s="2">
        <v>37080</v>
      </c>
      <c r="G26" s="2">
        <v>24720</v>
      </c>
      <c r="H26" s="2">
        <v>12360</v>
      </c>
      <c r="I26" s="1">
        <v>43709</v>
      </c>
      <c r="J26" t="s">
        <v>28</v>
      </c>
      <c r="K26">
        <v>2019</v>
      </c>
      <c r="L26" s="2"/>
    </row>
    <row r="27" spans="1:12" x14ac:dyDescent="0.3">
      <c r="A27" t="s">
        <v>3</v>
      </c>
      <c r="B27" t="s">
        <v>12</v>
      </c>
      <c r="C27" t="s">
        <v>6</v>
      </c>
      <c r="D27" s="2">
        <v>8001</v>
      </c>
      <c r="E27" s="2">
        <v>0</v>
      </c>
      <c r="F27" s="2">
        <v>8001</v>
      </c>
      <c r="G27" s="2">
        <v>5715</v>
      </c>
      <c r="H27" s="2">
        <v>2286</v>
      </c>
      <c r="I27" s="1">
        <v>43739</v>
      </c>
      <c r="J27" t="s">
        <v>29</v>
      </c>
      <c r="K27">
        <v>2019</v>
      </c>
      <c r="L27" s="2"/>
    </row>
    <row r="28" spans="1:12" x14ac:dyDescent="0.3">
      <c r="A28" t="s">
        <v>3</v>
      </c>
      <c r="B28" t="s">
        <v>10</v>
      </c>
      <c r="C28" t="s">
        <v>6</v>
      </c>
      <c r="D28" s="2">
        <v>603750</v>
      </c>
      <c r="E28" s="2">
        <v>0</v>
      </c>
      <c r="F28" s="2">
        <v>603750</v>
      </c>
      <c r="G28" s="2">
        <v>448500</v>
      </c>
      <c r="H28" s="2">
        <v>155250</v>
      </c>
      <c r="I28" s="1">
        <v>43405</v>
      </c>
      <c r="J28" t="s">
        <v>30</v>
      </c>
      <c r="K28">
        <v>2018</v>
      </c>
      <c r="L28" s="2"/>
    </row>
    <row r="29" spans="1:12" x14ac:dyDescent="0.3">
      <c r="A29" t="s">
        <v>14</v>
      </c>
      <c r="B29" t="s">
        <v>12</v>
      </c>
      <c r="C29" t="s">
        <v>6</v>
      </c>
      <c r="D29" s="2">
        <v>10944</v>
      </c>
      <c r="E29" s="2">
        <v>0</v>
      </c>
      <c r="F29" s="2">
        <v>10944</v>
      </c>
      <c r="G29" s="2">
        <v>2736</v>
      </c>
      <c r="H29" s="2">
        <v>8208</v>
      </c>
      <c r="I29" s="1">
        <v>43405</v>
      </c>
      <c r="J29" t="s">
        <v>30</v>
      </c>
      <c r="K29">
        <v>2018</v>
      </c>
      <c r="L29" s="2"/>
    </row>
    <row r="30" spans="1:12" x14ac:dyDescent="0.3">
      <c r="A30" t="s">
        <v>16</v>
      </c>
      <c r="B30" t="s">
        <v>10</v>
      </c>
      <c r="C30" t="s">
        <v>6</v>
      </c>
      <c r="D30" s="2">
        <v>32280</v>
      </c>
      <c r="E30" s="2">
        <v>0</v>
      </c>
      <c r="F30" s="2">
        <v>32280</v>
      </c>
      <c r="G30" s="2">
        <v>21520</v>
      </c>
      <c r="H30" s="2">
        <v>10760</v>
      </c>
      <c r="I30" s="1">
        <v>43435</v>
      </c>
      <c r="J30" t="s">
        <v>24</v>
      </c>
      <c r="K30">
        <v>2018</v>
      </c>
      <c r="L30" s="2"/>
    </row>
    <row r="31" spans="1:12" x14ac:dyDescent="0.3">
      <c r="A31" t="s">
        <v>3</v>
      </c>
      <c r="B31" t="s">
        <v>10</v>
      </c>
      <c r="C31" t="s">
        <v>6</v>
      </c>
      <c r="D31" s="2">
        <v>36340</v>
      </c>
      <c r="E31" s="2">
        <v>0</v>
      </c>
      <c r="F31" s="2">
        <v>36340</v>
      </c>
      <c r="G31" s="2">
        <v>18170</v>
      </c>
      <c r="H31" s="2">
        <v>18170</v>
      </c>
      <c r="I31" s="1">
        <v>43800</v>
      </c>
      <c r="J31" t="s">
        <v>24</v>
      </c>
      <c r="K31">
        <v>2019</v>
      </c>
      <c r="L31" s="2"/>
    </row>
    <row r="32" spans="1:12" x14ac:dyDescent="0.3">
      <c r="A32" t="s">
        <v>3</v>
      </c>
      <c r="B32" t="s">
        <v>11</v>
      </c>
      <c r="C32" t="s">
        <v>6</v>
      </c>
      <c r="D32" s="2">
        <v>529550</v>
      </c>
      <c r="E32" s="2">
        <v>0</v>
      </c>
      <c r="F32" s="2">
        <v>529550</v>
      </c>
      <c r="G32" s="2">
        <v>393380</v>
      </c>
      <c r="H32" s="2">
        <v>136170</v>
      </c>
      <c r="I32" s="1">
        <v>43800</v>
      </c>
      <c r="J32" t="s">
        <v>24</v>
      </c>
      <c r="K32">
        <v>2019</v>
      </c>
      <c r="L32" s="2"/>
    </row>
    <row r="33" spans="1:12" x14ac:dyDescent="0.3">
      <c r="A33" t="s">
        <v>3</v>
      </c>
      <c r="B33" t="s">
        <v>32</v>
      </c>
      <c r="C33" t="s">
        <v>7</v>
      </c>
      <c r="D33" s="2">
        <v>10451</v>
      </c>
      <c r="E33" s="2">
        <v>0</v>
      </c>
      <c r="F33" s="2">
        <v>10451</v>
      </c>
      <c r="G33" s="2">
        <v>7465</v>
      </c>
      <c r="H33" s="2">
        <v>2986</v>
      </c>
      <c r="I33" s="1">
        <v>43466</v>
      </c>
      <c r="J33" t="s">
        <v>21</v>
      </c>
      <c r="K33">
        <v>2019</v>
      </c>
      <c r="L33" s="2"/>
    </row>
    <row r="34" spans="1:12" x14ac:dyDescent="0.3">
      <c r="A34" t="s">
        <v>17</v>
      </c>
      <c r="B34" t="s">
        <v>33</v>
      </c>
      <c r="C34" t="s">
        <v>7</v>
      </c>
      <c r="D34" s="2">
        <v>225500</v>
      </c>
      <c r="E34" s="2">
        <v>0</v>
      </c>
      <c r="F34" s="2">
        <v>225500</v>
      </c>
      <c r="G34" s="2">
        <v>216480</v>
      </c>
      <c r="H34" s="2">
        <v>9020</v>
      </c>
      <c r="I34" s="1">
        <v>43497</v>
      </c>
      <c r="J34" t="s">
        <v>22</v>
      </c>
      <c r="K34">
        <v>2019</v>
      </c>
      <c r="L34" s="2"/>
    </row>
    <row r="35" spans="1:12" x14ac:dyDescent="0.3">
      <c r="A35" t="s">
        <v>14</v>
      </c>
      <c r="B35" t="s">
        <v>11</v>
      </c>
      <c r="C35" t="s">
        <v>7</v>
      </c>
      <c r="D35" s="2">
        <v>25932</v>
      </c>
      <c r="E35" s="2">
        <v>0</v>
      </c>
      <c r="F35" s="2">
        <v>25932</v>
      </c>
      <c r="G35" s="2">
        <v>6483</v>
      </c>
      <c r="H35" s="2">
        <v>19449</v>
      </c>
      <c r="I35" s="1">
        <v>43525</v>
      </c>
      <c r="J35" t="s">
        <v>25</v>
      </c>
      <c r="K35">
        <v>2019</v>
      </c>
      <c r="L35" s="2"/>
    </row>
    <row r="36" spans="1:12" x14ac:dyDescent="0.3">
      <c r="A36" t="s">
        <v>3</v>
      </c>
      <c r="B36" t="s">
        <v>11</v>
      </c>
      <c r="C36" t="s">
        <v>7</v>
      </c>
      <c r="D36" s="2">
        <v>352100</v>
      </c>
      <c r="E36" s="2">
        <v>0</v>
      </c>
      <c r="F36" s="2">
        <v>352100</v>
      </c>
      <c r="G36" s="2">
        <v>261560</v>
      </c>
      <c r="H36" s="2">
        <v>90540</v>
      </c>
      <c r="I36" s="1">
        <v>43617</v>
      </c>
      <c r="J36" t="s">
        <v>23</v>
      </c>
      <c r="K36">
        <v>2019</v>
      </c>
      <c r="L36" s="2"/>
    </row>
    <row r="37" spans="1:12" x14ac:dyDescent="0.3">
      <c r="A37" t="s">
        <v>14</v>
      </c>
      <c r="B37" t="s">
        <v>11</v>
      </c>
      <c r="C37" t="s">
        <v>7</v>
      </c>
      <c r="D37" s="2">
        <v>18540</v>
      </c>
      <c r="E37" s="2">
        <v>0</v>
      </c>
      <c r="F37" s="2">
        <v>18540</v>
      </c>
      <c r="G37" s="2">
        <v>4635</v>
      </c>
      <c r="H37" s="2">
        <v>13905</v>
      </c>
      <c r="I37" s="1">
        <v>43617</v>
      </c>
      <c r="J37" t="s">
        <v>23</v>
      </c>
      <c r="K37">
        <v>2019</v>
      </c>
      <c r="L37" s="2"/>
    </row>
    <row r="38" spans="1:12" x14ac:dyDescent="0.3">
      <c r="A38" t="s">
        <v>17</v>
      </c>
      <c r="B38" t="s">
        <v>12</v>
      </c>
      <c r="C38" t="s">
        <v>7</v>
      </c>
      <c r="D38" s="2">
        <v>352625</v>
      </c>
      <c r="E38" s="2">
        <v>0</v>
      </c>
      <c r="F38" s="2">
        <v>352625</v>
      </c>
      <c r="G38" s="2">
        <v>338520</v>
      </c>
      <c r="H38" s="2">
        <v>14105</v>
      </c>
      <c r="I38" s="1">
        <v>43678</v>
      </c>
      <c r="J38" t="s">
        <v>27</v>
      </c>
      <c r="K38">
        <v>2019</v>
      </c>
      <c r="L38" s="2"/>
    </row>
    <row r="39" spans="1:12" x14ac:dyDescent="0.3">
      <c r="A39" t="s">
        <v>17</v>
      </c>
      <c r="B39" t="s">
        <v>10</v>
      </c>
      <c r="C39" t="s">
        <v>7</v>
      </c>
      <c r="D39" s="2">
        <v>43125</v>
      </c>
      <c r="E39" s="2">
        <v>0</v>
      </c>
      <c r="F39" s="2">
        <v>43125</v>
      </c>
      <c r="G39" s="2">
        <v>41400</v>
      </c>
      <c r="H39" s="2">
        <v>1725</v>
      </c>
      <c r="I39" s="1">
        <v>43374</v>
      </c>
      <c r="J39" t="s">
        <v>29</v>
      </c>
      <c r="K39">
        <v>2018</v>
      </c>
      <c r="L39" s="2"/>
    </row>
    <row r="40" spans="1:12" x14ac:dyDescent="0.3">
      <c r="A40" t="s">
        <v>13</v>
      </c>
      <c r="B40" t="s">
        <v>10</v>
      </c>
      <c r="C40" t="s">
        <v>8</v>
      </c>
      <c r="D40" s="2">
        <v>600300</v>
      </c>
      <c r="E40" s="2">
        <v>0</v>
      </c>
      <c r="F40" s="2">
        <v>600300</v>
      </c>
      <c r="G40" s="2">
        <v>500250</v>
      </c>
      <c r="H40" s="2">
        <v>100050</v>
      </c>
      <c r="I40" s="1">
        <v>43497</v>
      </c>
      <c r="J40" t="s">
        <v>22</v>
      </c>
      <c r="K40">
        <v>2019</v>
      </c>
      <c r="L40" s="2"/>
    </row>
    <row r="41" spans="1:12" x14ac:dyDescent="0.3">
      <c r="A41" t="s">
        <v>14</v>
      </c>
      <c r="B41" t="s">
        <v>11</v>
      </c>
      <c r="C41" t="s">
        <v>8</v>
      </c>
      <c r="D41" s="2">
        <v>34056</v>
      </c>
      <c r="E41" s="2">
        <v>0</v>
      </c>
      <c r="F41" s="2">
        <v>34056</v>
      </c>
      <c r="G41" s="2">
        <v>8514</v>
      </c>
      <c r="H41" s="2">
        <v>25542</v>
      </c>
      <c r="I41" s="1">
        <v>43556</v>
      </c>
      <c r="J41" t="s">
        <v>38</v>
      </c>
      <c r="K41">
        <v>2019</v>
      </c>
      <c r="L41" s="2"/>
    </row>
    <row r="42" spans="1:12" x14ac:dyDescent="0.3">
      <c r="A42" t="s">
        <v>16</v>
      </c>
      <c r="B42" t="s">
        <v>33</v>
      </c>
      <c r="C42" t="s">
        <v>8</v>
      </c>
      <c r="D42" s="2">
        <v>32670</v>
      </c>
      <c r="E42" s="2">
        <v>0</v>
      </c>
      <c r="F42" s="2">
        <v>32670</v>
      </c>
      <c r="G42" s="2">
        <v>21780</v>
      </c>
      <c r="H42" s="2">
        <v>10890</v>
      </c>
      <c r="I42" s="1">
        <v>43617</v>
      </c>
      <c r="J42" t="s">
        <v>23</v>
      </c>
      <c r="K42">
        <v>2019</v>
      </c>
      <c r="L42" s="2"/>
    </row>
    <row r="43" spans="1:12" x14ac:dyDescent="0.3">
      <c r="A43" t="s">
        <v>16</v>
      </c>
      <c r="B43" t="s">
        <v>11</v>
      </c>
      <c r="C43" t="s">
        <v>8</v>
      </c>
      <c r="D43" s="2">
        <v>13320</v>
      </c>
      <c r="E43" s="2">
        <v>0</v>
      </c>
      <c r="F43" s="2">
        <v>13320</v>
      </c>
      <c r="G43" s="2">
        <v>8880</v>
      </c>
      <c r="H43" s="2">
        <v>4440</v>
      </c>
      <c r="I43" s="1">
        <v>43617</v>
      </c>
      <c r="J43" t="s">
        <v>23</v>
      </c>
      <c r="K43">
        <v>2019</v>
      </c>
      <c r="L43" s="2"/>
    </row>
    <row r="44" spans="1:12" x14ac:dyDescent="0.3">
      <c r="A44" t="s">
        <v>3</v>
      </c>
      <c r="B44" t="s">
        <v>33</v>
      </c>
      <c r="C44" t="s">
        <v>8</v>
      </c>
      <c r="D44" s="2">
        <v>534450</v>
      </c>
      <c r="E44" s="2">
        <v>0</v>
      </c>
      <c r="F44" s="2">
        <v>534450</v>
      </c>
      <c r="G44" s="2">
        <v>397020</v>
      </c>
      <c r="H44" s="2">
        <v>137430</v>
      </c>
      <c r="I44" s="1">
        <v>43344</v>
      </c>
      <c r="J44" t="s">
        <v>28</v>
      </c>
      <c r="K44">
        <v>2018</v>
      </c>
      <c r="L44" s="2"/>
    </row>
    <row r="45" spans="1:12" x14ac:dyDescent="0.3">
      <c r="A45" t="s">
        <v>13</v>
      </c>
      <c r="B45" t="s">
        <v>33</v>
      </c>
      <c r="C45" t="s">
        <v>8</v>
      </c>
      <c r="D45" s="2">
        <v>645300</v>
      </c>
      <c r="E45" s="2">
        <v>0</v>
      </c>
      <c r="F45" s="2">
        <v>645300</v>
      </c>
      <c r="G45" s="2">
        <v>537750</v>
      </c>
      <c r="H45" s="2">
        <v>107550</v>
      </c>
      <c r="I45" s="1">
        <v>43709</v>
      </c>
      <c r="J45" t="s">
        <v>28</v>
      </c>
      <c r="K45">
        <v>2019</v>
      </c>
      <c r="L45" s="2"/>
    </row>
    <row r="46" spans="1:12" x14ac:dyDescent="0.3">
      <c r="A46" t="s">
        <v>3</v>
      </c>
      <c r="B46" t="s">
        <v>10</v>
      </c>
      <c r="C46" t="s">
        <v>8</v>
      </c>
      <c r="D46" s="2">
        <v>36340</v>
      </c>
      <c r="E46" s="2">
        <v>0</v>
      </c>
      <c r="F46" s="2">
        <v>36340</v>
      </c>
      <c r="G46" s="2">
        <v>18170</v>
      </c>
      <c r="H46" s="2">
        <v>18170</v>
      </c>
      <c r="I46" s="1">
        <v>43800</v>
      </c>
      <c r="J46" t="s">
        <v>24</v>
      </c>
      <c r="K46">
        <v>2019</v>
      </c>
      <c r="L46" s="2"/>
    </row>
    <row r="47" spans="1:12" x14ac:dyDescent="0.3">
      <c r="A47" t="s">
        <v>3</v>
      </c>
      <c r="B47" t="s">
        <v>33</v>
      </c>
      <c r="C47" t="s">
        <v>9</v>
      </c>
      <c r="D47" s="2">
        <v>962500</v>
      </c>
      <c r="E47" s="2">
        <v>0</v>
      </c>
      <c r="F47" s="2">
        <v>962500</v>
      </c>
      <c r="G47" s="2">
        <v>715000</v>
      </c>
      <c r="H47" s="2">
        <v>247500</v>
      </c>
      <c r="I47" s="1">
        <v>43497</v>
      </c>
      <c r="J47" t="s">
        <v>22</v>
      </c>
      <c r="K47">
        <v>2019</v>
      </c>
      <c r="L47" s="2"/>
    </row>
    <row r="48" spans="1:12" x14ac:dyDescent="0.3">
      <c r="A48" t="s">
        <v>14</v>
      </c>
      <c r="B48" t="s">
        <v>12</v>
      </c>
      <c r="C48" t="s">
        <v>9</v>
      </c>
      <c r="D48" s="2">
        <v>23436</v>
      </c>
      <c r="E48" s="2">
        <v>0</v>
      </c>
      <c r="F48" s="2">
        <v>23436</v>
      </c>
      <c r="G48" s="2">
        <v>5859</v>
      </c>
      <c r="H48" s="2">
        <v>17577</v>
      </c>
      <c r="I48" s="1">
        <v>43556</v>
      </c>
      <c r="J48" t="s">
        <v>38</v>
      </c>
      <c r="K48">
        <v>2019</v>
      </c>
      <c r="L48" s="2"/>
    </row>
    <row r="49" spans="1:12" x14ac:dyDescent="0.3">
      <c r="A49" t="s">
        <v>17</v>
      </c>
      <c r="B49" t="s">
        <v>11</v>
      </c>
      <c r="C49" t="s">
        <v>9</v>
      </c>
      <c r="D49" s="2">
        <v>527437.5</v>
      </c>
      <c r="E49" s="2">
        <v>0</v>
      </c>
      <c r="F49" s="2">
        <v>527437.5</v>
      </c>
      <c r="G49" s="2">
        <v>506340</v>
      </c>
      <c r="H49" s="2">
        <v>21097.5</v>
      </c>
      <c r="I49" s="1">
        <v>43556</v>
      </c>
      <c r="J49" t="s">
        <v>38</v>
      </c>
      <c r="K49">
        <v>2019</v>
      </c>
      <c r="L49" s="2"/>
    </row>
    <row r="50" spans="1:12" x14ac:dyDescent="0.3">
      <c r="A50" t="s">
        <v>3</v>
      </c>
      <c r="B50" t="s">
        <v>33</v>
      </c>
      <c r="C50" t="s">
        <v>9</v>
      </c>
      <c r="D50" s="2">
        <v>37980</v>
      </c>
      <c r="E50" s="2">
        <v>0</v>
      </c>
      <c r="F50" s="2">
        <v>37980</v>
      </c>
      <c r="G50" s="2">
        <v>18990</v>
      </c>
      <c r="H50" s="2">
        <v>18990</v>
      </c>
      <c r="I50" s="1">
        <v>43617</v>
      </c>
      <c r="J50" t="s">
        <v>23</v>
      </c>
      <c r="K50">
        <v>2019</v>
      </c>
      <c r="L50" s="2"/>
    </row>
    <row r="51" spans="1:12" x14ac:dyDescent="0.3">
      <c r="A51" t="s">
        <v>3</v>
      </c>
      <c r="B51" t="s">
        <v>11</v>
      </c>
      <c r="C51" t="s">
        <v>9</v>
      </c>
      <c r="D51" s="2">
        <v>11802</v>
      </c>
      <c r="E51" s="2">
        <v>0</v>
      </c>
      <c r="F51" s="2">
        <v>11802</v>
      </c>
      <c r="G51" s="2">
        <v>8430</v>
      </c>
      <c r="H51" s="2">
        <v>3372</v>
      </c>
      <c r="I51" s="1">
        <v>43647</v>
      </c>
      <c r="J51" t="s">
        <v>26</v>
      </c>
      <c r="K51">
        <v>2019</v>
      </c>
      <c r="L51" s="2"/>
    </row>
    <row r="52" spans="1:12" x14ac:dyDescent="0.3">
      <c r="A52" t="s">
        <v>14</v>
      </c>
      <c r="B52" t="s">
        <v>12</v>
      </c>
      <c r="C52" t="s">
        <v>9</v>
      </c>
      <c r="D52" s="2">
        <v>25692</v>
      </c>
      <c r="E52" s="2">
        <v>0</v>
      </c>
      <c r="F52" s="2">
        <v>25692</v>
      </c>
      <c r="G52" s="2">
        <v>6423</v>
      </c>
      <c r="H52" s="2">
        <v>19269</v>
      </c>
      <c r="I52" s="1">
        <v>43678</v>
      </c>
      <c r="J52" t="s">
        <v>27</v>
      </c>
      <c r="K52">
        <v>2019</v>
      </c>
      <c r="L52" s="2"/>
    </row>
    <row r="53" spans="1:12" x14ac:dyDescent="0.3">
      <c r="A53" t="s">
        <v>3</v>
      </c>
      <c r="B53" t="s">
        <v>12</v>
      </c>
      <c r="C53" t="s">
        <v>9</v>
      </c>
      <c r="D53" s="2">
        <v>8001</v>
      </c>
      <c r="E53" s="2">
        <v>0</v>
      </c>
      <c r="F53" s="2">
        <v>8001</v>
      </c>
      <c r="G53" s="2">
        <v>5715</v>
      </c>
      <c r="H53" s="2">
        <v>2286</v>
      </c>
      <c r="I53" s="1">
        <v>43739</v>
      </c>
      <c r="J53" t="s">
        <v>29</v>
      </c>
      <c r="K53">
        <v>2019</v>
      </c>
      <c r="L53" s="2"/>
    </row>
    <row r="54" spans="1:12" x14ac:dyDescent="0.3">
      <c r="A54" t="s">
        <v>16</v>
      </c>
      <c r="B54" t="s">
        <v>12</v>
      </c>
      <c r="C54" t="s">
        <v>9</v>
      </c>
      <c r="D54" s="2">
        <v>9225</v>
      </c>
      <c r="E54" s="2">
        <v>0</v>
      </c>
      <c r="F54" s="2">
        <v>9225</v>
      </c>
      <c r="G54" s="2">
        <v>6150</v>
      </c>
      <c r="H54" s="2">
        <v>3075</v>
      </c>
      <c r="I54" s="1">
        <v>43800</v>
      </c>
      <c r="J54" t="s">
        <v>24</v>
      </c>
      <c r="K54">
        <v>2019</v>
      </c>
      <c r="L54" s="2"/>
    </row>
    <row r="55" spans="1:12" x14ac:dyDescent="0.3">
      <c r="A55" t="s">
        <v>3</v>
      </c>
      <c r="B55" t="s">
        <v>33</v>
      </c>
      <c r="C55" t="s">
        <v>6</v>
      </c>
      <c r="D55" s="2">
        <v>27615</v>
      </c>
      <c r="E55" s="2">
        <v>276.14999999999998</v>
      </c>
      <c r="F55" s="2">
        <v>27338.850000000002</v>
      </c>
      <c r="G55" s="2">
        <v>19725</v>
      </c>
      <c r="H55" s="2">
        <v>7613.8500000000022</v>
      </c>
      <c r="I55" s="1">
        <v>43466</v>
      </c>
      <c r="J55" t="s">
        <v>21</v>
      </c>
      <c r="K55">
        <v>2019</v>
      </c>
      <c r="L55" s="2"/>
    </row>
    <row r="56" spans="1:12" x14ac:dyDescent="0.3">
      <c r="A56" t="s">
        <v>16</v>
      </c>
      <c r="B56" t="s">
        <v>33</v>
      </c>
      <c r="C56" t="s">
        <v>6</v>
      </c>
      <c r="D56" s="2">
        <v>34440</v>
      </c>
      <c r="E56" s="2">
        <v>344.4</v>
      </c>
      <c r="F56" s="2">
        <v>34095.599999999999</v>
      </c>
      <c r="G56" s="2">
        <v>22960</v>
      </c>
      <c r="H56" s="2">
        <v>11135.599999999999</v>
      </c>
      <c r="I56" s="1">
        <v>43497</v>
      </c>
      <c r="J56" t="s">
        <v>22</v>
      </c>
      <c r="K56">
        <v>2019</v>
      </c>
      <c r="L56" s="2"/>
    </row>
    <row r="57" spans="1:12" x14ac:dyDescent="0.3">
      <c r="A57" t="s">
        <v>3</v>
      </c>
      <c r="B57" t="s">
        <v>33</v>
      </c>
      <c r="C57" t="s">
        <v>6</v>
      </c>
      <c r="D57" s="2">
        <v>7210</v>
      </c>
      <c r="E57" s="2">
        <v>72.099999999999994</v>
      </c>
      <c r="F57" s="2">
        <v>7137.9</v>
      </c>
      <c r="G57" s="2">
        <v>5150</v>
      </c>
      <c r="H57" s="2">
        <v>1987.8999999999996</v>
      </c>
      <c r="I57" s="1">
        <v>43586</v>
      </c>
      <c r="J57" t="s">
        <v>31</v>
      </c>
      <c r="K57">
        <v>2019</v>
      </c>
      <c r="L57" s="2"/>
    </row>
    <row r="58" spans="1:12" x14ac:dyDescent="0.3">
      <c r="A58" t="s">
        <v>3</v>
      </c>
      <c r="B58" t="s">
        <v>33</v>
      </c>
      <c r="C58" t="s">
        <v>7</v>
      </c>
      <c r="D58" s="2">
        <v>4473</v>
      </c>
      <c r="E58" s="2">
        <v>44.73</v>
      </c>
      <c r="F58" s="2">
        <v>4428.2700000000004</v>
      </c>
      <c r="G58" s="2">
        <v>3195</v>
      </c>
      <c r="H58" s="2">
        <v>1233.2700000000004</v>
      </c>
      <c r="I58" s="1">
        <v>43770</v>
      </c>
      <c r="J58" t="s">
        <v>30</v>
      </c>
      <c r="K58">
        <v>2019</v>
      </c>
      <c r="L58" s="2"/>
    </row>
    <row r="59" spans="1:12" x14ac:dyDescent="0.3">
      <c r="A59" t="s">
        <v>3</v>
      </c>
      <c r="B59" t="s">
        <v>10</v>
      </c>
      <c r="C59" t="s">
        <v>8</v>
      </c>
      <c r="D59" s="2">
        <v>9282</v>
      </c>
      <c r="E59" s="2">
        <v>92.82</v>
      </c>
      <c r="F59" s="2">
        <v>9189.18</v>
      </c>
      <c r="G59" s="2">
        <v>6630</v>
      </c>
      <c r="H59" s="2">
        <v>2559.1800000000003</v>
      </c>
      <c r="I59" s="1">
        <v>43525</v>
      </c>
      <c r="J59" t="s">
        <v>25</v>
      </c>
      <c r="K59">
        <v>2019</v>
      </c>
      <c r="L59" s="2"/>
    </row>
    <row r="60" spans="1:12" x14ac:dyDescent="0.3">
      <c r="A60" t="s">
        <v>14</v>
      </c>
      <c r="B60" t="s">
        <v>12</v>
      </c>
      <c r="C60" t="s">
        <v>2</v>
      </c>
      <c r="D60" s="2">
        <v>22296</v>
      </c>
      <c r="E60" s="2">
        <v>222.96</v>
      </c>
      <c r="F60" s="2">
        <v>22073.040000000001</v>
      </c>
      <c r="G60" s="2">
        <v>6131.4000000000005</v>
      </c>
      <c r="H60" s="2">
        <v>15941.64</v>
      </c>
      <c r="I60" s="1">
        <v>43497</v>
      </c>
      <c r="J60" t="s">
        <v>22</v>
      </c>
      <c r="K60">
        <v>2019</v>
      </c>
      <c r="L60" s="2"/>
    </row>
    <row r="61" spans="1:12" x14ac:dyDescent="0.3">
      <c r="A61" t="s">
        <v>3</v>
      </c>
      <c r="B61" t="s">
        <v>32</v>
      </c>
      <c r="C61" t="s">
        <v>2</v>
      </c>
      <c r="D61" s="2">
        <v>423500</v>
      </c>
      <c r="E61" s="2">
        <v>4235</v>
      </c>
      <c r="F61" s="2">
        <v>419265</v>
      </c>
      <c r="G61" s="2">
        <v>346060</v>
      </c>
      <c r="H61" s="2">
        <v>73205</v>
      </c>
      <c r="I61" s="1">
        <v>43525</v>
      </c>
      <c r="J61" t="s">
        <v>25</v>
      </c>
      <c r="K61">
        <v>2019</v>
      </c>
      <c r="L61" s="2"/>
    </row>
    <row r="62" spans="1:12" x14ac:dyDescent="0.3">
      <c r="A62" t="s">
        <v>3</v>
      </c>
      <c r="B62" t="s">
        <v>12</v>
      </c>
      <c r="C62" t="s">
        <v>2</v>
      </c>
      <c r="D62" s="2">
        <v>17703</v>
      </c>
      <c r="E62" s="2">
        <v>177.03</v>
      </c>
      <c r="F62" s="2">
        <v>17525.97</v>
      </c>
      <c r="G62" s="2">
        <v>13909.500000000002</v>
      </c>
      <c r="H62" s="2">
        <v>3616.4699999999993</v>
      </c>
      <c r="I62" s="1">
        <v>43647</v>
      </c>
      <c r="J62" t="s">
        <v>26</v>
      </c>
      <c r="K62">
        <v>2019</v>
      </c>
      <c r="L62" s="2"/>
    </row>
    <row r="63" spans="1:12" x14ac:dyDescent="0.3">
      <c r="A63" t="s">
        <v>14</v>
      </c>
      <c r="B63" t="s">
        <v>10</v>
      </c>
      <c r="C63" t="s">
        <v>2</v>
      </c>
      <c r="D63" s="2">
        <v>17340</v>
      </c>
      <c r="E63" s="2">
        <v>173.4</v>
      </c>
      <c r="F63" s="2">
        <v>17166.599999999999</v>
      </c>
      <c r="G63" s="2">
        <v>4768.5</v>
      </c>
      <c r="H63" s="2">
        <v>12398.099999999999</v>
      </c>
      <c r="I63" s="1">
        <v>43709</v>
      </c>
      <c r="J63" t="s">
        <v>28</v>
      </c>
      <c r="K63">
        <v>2019</v>
      </c>
      <c r="L63" s="2"/>
    </row>
    <row r="64" spans="1:12" x14ac:dyDescent="0.3">
      <c r="A64" t="s">
        <v>17</v>
      </c>
      <c r="B64" t="s">
        <v>12</v>
      </c>
      <c r="C64" t="s">
        <v>2</v>
      </c>
      <c r="D64" s="2">
        <v>41250</v>
      </c>
      <c r="E64" s="2">
        <v>412.5</v>
      </c>
      <c r="F64" s="2">
        <v>40837.5</v>
      </c>
      <c r="G64" s="2">
        <v>43560</v>
      </c>
      <c r="H64" s="2">
        <v>-2722.5</v>
      </c>
      <c r="I64" s="1">
        <v>43344</v>
      </c>
      <c r="J64" t="s">
        <v>28</v>
      </c>
      <c r="K64">
        <v>2018</v>
      </c>
      <c r="L64" s="2"/>
    </row>
    <row r="65" spans="1:12" x14ac:dyDescent="0.3">
      <c r="A65" t="s">
        <v>14</v>
      </c>
      <c r="B65" t="s">
        <v>33</v>
      </c>
      <c r="C65" t="s">
        <v>2</v>
      </c>
      <c r="D65" s="2">
        <v>32052</v>
      </c>
      <c r="E65" s="2">
        <v>320.52</v>
      </c>
      <c r="F65" s="2">
        <v>31731.48</v>
      </c>
      <c r="G65" s="2">
        <v>8814.3000000000011</v>
      </c>
      <c r="H65" s="2">
        <v>22917.18</v>
      </c>
      <c r="I65" s="1">
        <v>43709</v>
      </c>
      <c r="J65" t="s">
        <v>28</v>
      </c>
      <c r="K65">
        <v>2019</v>
      </c>
      <c r="L65" s="2"/>
    </row>
    <row r="66" spans="1:12" x14ac:dyDescent="0.3">
      <c r="A66" t="s">
        <v>14</v>
      </c>
      <c r="B66" t="s">
        <v>11</v>
      </c>
      <c r="C66" t="s">
        <v>2</v>
      </c>
      <c r="D66" s="2">
        <v>9192</v>
      </c>
      <c r="E66" s="2">
        <v>91.92</v>
      </c>
      <c r="F66" s="2">
        <v>9100.08</v>
      </c>
      <c r="G66" s="2">
        <v>2527.8000000000002</v>
      </c>
      <c r="H66" s="2">
        <v>6572.28</v>
      </c>
      <c r="I66" s="1">
        <v>43374</v>
      </c>
      <c r="J66" t="s">
        <v>29</v>
      </c>
      <c r="K66">
        <v>2018</v>
      </c>
      <c r="L66" s="2"/>
    </row>
    <row r="67" spans="1:12" x14ac:dyDescent="0.3">
      <c r="A67" t="s">
        <v>13</v>
      </c>
      <c r="B67" t="s">
        <v>32</v>
      </c>
      <c r="C67" t="s">
        <v>2</v>
      </c>
      <c r="D67" s="2">
        <v>148200</v>
      </c>
      <c r="E67" s="2">
        <v>1482</v>
      </c>
      <c r="F67" s="2">
        <v>146718</v>
      </c>
      <c r="G67" s="2">
        <v>135850</v>
      </c>
      <c r="H67" s="2">
        <v>10868</v>
      </c>
      <c r="I67" s="1">
        <v>43374</v>
      </c>
      <c r="J67" t="s">
        <v>29</v>
      </c>
      <c r="K67">
        <v>2018</v>
      </c>
      <c r="L67" s="2"/>
    </row>
    <row r="68" spans="1:12" x14ac:dyDescent="0.3">
      <c r="A68" t="s">
        <v>3</v>
      </c>
      <c r="B68" t="s">
        <v>32</v>
      </c>
      <c r="C68" t="s">
        <v>2</v>
      </c>
      <c r="D68" s="2">
        <v>488950</v>
      </c>
      <c r="E68" s="2">
        <v>4889.5</v>
      </c>
      <c r="F68" s="2">
        <v>484060.5</v>
      </c>
      <c r="G68" s="2">
        <v>399542.00000000006</v>
      </c>
      <c r="H68" s="2">
        <v>84518.499999999942</v>
      </c>
      <c r="I68" s="1">
        <v>43739</v>
      </c>
      <c r="J68" t="s">
        <v>29</v>
      </c>
      <c r="K68">
        <v>2019</v>
      </c>
      <c r="L68" s="2"/>
    </row>
    <row r="69" spans="1:12" x14ac:dyDescent="0.3">
      <c r="A69" t="s">
        <v>3</v>
      </c>
      <c r="B69" t="s">
        <v>33</v>
      </c>
      <c r="C69" t="s">
        <v>2</v>
      </c>
      <c r="D69" s="2">
        <v>754250</v>
      </c>
      <c r="E69" s="2">
        <v>7542.5</v>
      </c>
      <c r="F69" s="2">
        <v>746707.5</v>
      </c>
      <c r="G69" s="2">
        <v>616330</v>
      </c>
      <c r="H69" s="2">
        <v>130377.5</v>
      </c>
      <c r="I69" s="1">
        <v>43800</v>
      </c>
      <c r="J69" t="s">
        <v>24</v>
      </c>
      <c r="K69">
        <v>2019</v>
      </c>
      <c r="L69" s="2"/>
    </row>
    <row r="70" spans="1:12" x14ac:dyDescent="0.3">
      <c r="A70" t="s">
        <v>16</v>
      </c>
      <c r="B70" t="s">
        <v>32</v>
      </c>
      <c r="C70" t="s">
        <v>5</v>
      </c>
      <c r="D70" s="2">
        <v>33210</v>
      </c>
      <c r="E70" s="2">
        <v>332.1</v>
      </c>
      <c r="F70" s="2">
        <v>32877.9</v>
      </c>
      <c r="G70" s="2">
        <v>22140</v>
      </c>
      <c r="H70" s="2">
        <v>10737.900000000001</v>
      </c>
      <c r="I70" s="1">
        <v>43525</v>
      </c>
      <c r="J70" t="s">
        <v>25</v>
      </c>
      <c r="K70">
        <v>2019</v>
      </c>
      <c r="L70" s="2"/>
    </row>
    <row r="71" spans="1:12" x14ac:dyDescent="0.3">
      <c r="A71" t="s">
        <v>13</v>
      </c>
      <c r="B71" t="s">
        <v>12</v>
      </c>
      <c r="C71" t="s">
        <v>5</v>
      </c>
      <c r="D71" s="2">
        <v>690300</v>
      </c>
      <c r="E71" s="2">
        <v>6903</v>
      </c>
      <c r="F71" s="2">
        <v>683397</v>
      </c>
      <c r="G71" s="2">
        <v>575250</v>
      </c>
      <c r="H71" s="2">
        <v>108147</v>
      </c>
      <c r="I71" s="1">
        <v>43556</v>
      </c>
      <c r="J71" t="s">
        <v>38</v>
      </c>
      <c r="K71">
        <v>2019</v>
      </c>
      <c r="L71" s="2"/>
    </row>
    <row r="72" spans="1:12" x14ac:dyDescent="0.3">
      <c r="A72" t="s">
        <v>3</v>
      </c>
      <c r="B72" t="s">
        <v>33</v>
      </c>
      <c r="C72" t="s">
        <v>5</v>
      </c>
      <c r="D72" s="2">
        <v>27510</v>
      </c>
      <c r="E72" s="2">
        <v>275.10000000000002</v>
      </c>
      <c r="F72" s="2">
        <v>27234.899999999998</v>
      </c>
      <c r="G72" s="2">
        <v>13755</v>
      </c>
      <c r="H72" s="2">
        <v>13479.899999999998</v>
      </c>
      <c r="I72" s="1">
        <v>43647</v>
      </c>
      <c r="J72" t="s">
        <v>26</v>
      </c>
      <c r="K72">
        <v>2019</v>
      </c>
      <c r="L72" s="2"/>
    </row>
    <row r="73" spans="1:12" x14ac:dyDescent="0.3">
      <c r="A73" t="s">
        <v>3</v>
      </c>
      <c r="B73" t="s">
        <v>10</v>
      </c>
      <c r="C73" t="s">
        <v>5</v>
      </c>
      <c r="D73" s="2">
        <v>12810</v>
      </c>
      <c r="E73" s="2">
        <v>128.1</v>
      </c>
      <c r="F73" s="2">
        <v>12681.9</v>
      </c>
      <c r="G73" s="2">
        <v>9150</v>
      </c>
      <c r="H73" s="2">
        <v>3531.8999999999996</v>
      </c>
      <c r="I73" s="1">
        <v>43678</v>
      </c>
      <c r="J73" t="s">
        <v>27</v>
      </c>
      <c r="K73">
        <v>2019</v>
      </c>
      <c r="L73" s="2"/>
    </row>
    <row r="74" spans="1:12" x14ac:dyDescent="0.3">
      <c r="A74" t="s">
        <v>13</v>
      </c>
      <c r="B74" t="s">
        <v>12</v>
      </c>
      <c r="C74" t="s">
        <v>5</v>
      </c>
      <c r="D74" s="2">
        <v>749400</v>
      </c>
      <c r="E74" s="2">
        <v>7494</v>
      </c>
      <c r="F74" s="2">
        <v>741906</v>
      </c>
      <c r="G74" s="2">
        <v>624500</v>
      </c>
      <c r="H74" s="2">
        <v>117406</v>
      </c>
      <c r="I74" s="1">
        <v>43344</v>
      </c>
      <c r="J74" t="s">
        <v>28</v>
      </c>
      <c r="K74">
        <v>2018</v>
      </c>
      <c r="L74" s="2"/>
    </row>
    <row r="75" spans="1:12" x14ac:dyDescent="0.3">
      <c r="A75" t="s">
        <v>17</v>
      </c>
      <c r="B75" t="s">
        <v>12</v>
      </c>
      <c r="C75" t="s">
        <v>5</v>
      </c>
      <c r="D75" s="2">
        <v>82875</v>
      </c>
      <c r="E75" s="2">
        <v>828.75</v>
      </c>
      <c r="F75" s="2">
        <v>82046.25</v>
      </c>
      <c r="G75" s="2">
        <v>79560</v>
      </c>
      <c r="H75" s="2">
        <v>2486.25</v>
      </c>
      <c r="I75" s="1">
        <v>43374</v>
      </c>
      <c r="J75" t="s">
        <v>29</v>
      </c>
      <c r="K75">
        <v>2018</v>
      </c>
      <c r="L75" s="2"/>
    </row>
    <row r="76" spans="1:12" x14ac:dyDescent="0.3">
      <c r="A76" t="s">
        <v>16</v>
      </c>
      <c r="B76" t="s">
        <v>12</v>
      </c>
      <c r="C76" t="s">
        <v>6</v>
      </c>
      <c r="D76" s="2">
        <v>22710</v>
      </c>
      <c r="E76" s="2">
        <v>227.1</v>
      </c>
      <c r="F76" s="2">
        <v>22482.9</v>
      </c>
      <c r="G76" s="2">
        <v>15140</v>
      </c>
      <c r="H76" s="2">
        <v>7342.9000000000015</v>
      </c>
      <c r="I76" s="1">
        <v>43497</v>
      </c>
      <c r="J76" t="s">
        <v>22</v>
      </c>
      <c r="K76">
        <v>2019</v>
      </c>
      <c r="L76" s="2"/>
    </row>
    <row r="77" spans="1:12" x14ac:dyDescent="0.3">
      <c r="A77" t="s">
        <v>3</v>
      </c>
      <c r="B77" t="s">
        <v>12</v>
      </c>
      <c r="C77" t="s">
        <v>6</v>
      </c>
      <c r="D77" s="2">
        <v>31447.5</v>
      </c>
      <c r="E77" s="2">
        <v>314.47500000000002</v>
      </c>
      <c r="F77" s="2">
        <v>31133.024999999998</v>
      </c>
      <c r="G77" s="2">
        <v>22462.5</v>
      </c>
      <c r="H77" s="2">
        <v>8670.5249999999978</v>
      </c>
      <c r="I77" s="1">
        <v>43556</v>
      </c>
      <c r="J77" t="s">
        <v>38</v>
      </c>
      <c r="K77">
        <v>2019</v>
      </c>
      <c r="L77" s="2"/>
    </row>
    <row r="78" spans="1:12" x14ac:dyDescent="0.3">
      <c r="A78" t="s">
        <v>17</v>
      </c>
      <c r="B78" t="s">
        <v>12</v>
      </c>
      <c r="C78" t="s">
        <v>6</v>
      </c>
      <c r="D78" s="2">
        <v>90875</v>
      </c>
      <c r="E78" s="2">
        <v>908.75</v>
      </c>
      <c r="F78" s="2">
        <v>89966.25</v>
      </c>
      <c r="G78" s="2">
        <v>87240</v>
      </c>
      <c r="H78" s="2">
        <v>2726.25</v>
      </c>
      <c r="I78" s="1">
        <v>43617</v>
      </c>
      <c r="J78" t="s">
        <v>23</v>
      </c>
      <c r="K78">
        <v>2019</v>
      </c>
      <c r="L78" s="2"/>
    </row>
    <row r="79" spans="1:12" x14ac:dyDescent="0.3">
      <c r="A79" t="s">
        <v>17</v>
      </c>
      <c r="B79" t="s">
        <v>33</v>
      </c>
      <c r="C79" t="s">
        <v>6</v>
      </c>
      <c r="D79" s="2">
        <v>98375</v>
      </c>
      <c r="E79" s="2">
        <v>983.75</v>
      </c>
      <c r="F79" s="2">
        <v>97391.25</v>
      </c>
      <c r="G79" s="2">
        <v>94440</v>
      </c>
      <c r="H79" s="2">
        <v>2951.25</v>
      </c>
      <c r="I79" s="1">
        <v>43617</v>
      </c>
      <c r="J79" t="s">
        <v>23</v>
      </c>
      <c r="K79">
        <v>2019</v>
      </c>
      <c r="L79" s="2"/>
    </row>
    <row r="80" spans="1:12" x14ac:dyDescent="0.3">
      <c r="A80" t="s">
        <v>17</v>
      </c>
      <c r="B80" t="s">
        <v>32</v>
      </c>
      <c r="C80" t="s">
        <v>6</v>
      </c>
      <c r="D80" s="2">
        <v>227875</v>
      </c>
      <c r="E80" s="2">
        <v>2278.75</v>
      </c>
      <c r="F80" s="2">
        <v>225596.25</v>
      </c>
      <c r="G80" s="2">
        <v>218760</v>
      </c>
      <c r="H80" s="2">
        <v>6836.25</v>
      </c>
      <c r="I80" s="1">
        <v>43647</v>
      </c>
      <c r="J80" t="s">
        <v>26</v>
      </c>
      <c r="K80">
        <v>2019</v>
      </c>
      <c r="L80" s="2"/>
    </row>
    <row r="81" spans="1:12" x14ac:dyDescent="0.3">
      <c r="A81" t="s">
        <v>16</v>
      </c>
      <c r="B81" t="s">
        <v>11</v>
      </c>
      <c r="C81" t="s">
        <v>6</v>
      </c>
      <c r="D81" s="2">
        <v>11205</v>
      </c>
      <c r="E81" s="2">
        <v>112.05</v>
      </c>
      <c r="F81" s="2">
        <v>11092.95</v>
      </c>
      <c r="G81" s="2">
        <v>7470</v>
      </c>
      <c r="H81" s="2">
        <v>3622.9500000000007</v>
      </c>
      <c r="I81" s="1">
        <v>43709</v>
      </c>
      <c r="J81" t="s">
        <v>28</v>
      </c>
      <c r="K81">
        <v>2019</v>
      </c>
      <c r="L81" s="2"/>
    </row>
    <row r="82" spans="1:12" x14ac:dyDescent="0.3">
      <c r="A82" t="s">
        <v>14</v>
      </c>
      <c r="B82" t="s">
        <v>11</v>
      </c>
      <c r="C82" t="s">
        <v>6</v>
      </c>
      <c r="D82" s="2">
        <v>9192</v>
      </c>
      <c r="E82" s="2">
        <v>91.92</v>
      </c>
      <c r="F82" s="2">
        <v>9100.08</v>
      </c>
      <c r="G82" s="2">
        <v>2298</v>
      </c>
      <c r="H82" s="2">
        <v>6802.08</v>
      </c>
      <c r="I82" s="1">
        <v>43374</v>
      </c>
      <c r="J82" t="s">
        <v>29</v>
      </c>
      <c r="K82">
        <v>2018</v>
      </c>
      <c r="L82" s="2"/>
    </row>
    <row r="83" spans="1:12" x14ac:dyDescent="0.3">
      <c r="A83" t="s">
        <v>13</v>
      </c>
      <c r="B83" t="s">
        <v>12</v>
      </c>
      <c r="C83" t="s">
        <v>6</v>
      </c>
      <c r="D83" s="2">
        <v>871500</v>
      </c>
      <c r="E83" s="2">
        <v>8715</v>
      </c>
      <c r="F83" s="2">
        <v>862785</v>
      </c>
      <c r="G83" s="2">
        <v>726250</v>
      </c>
      <c r="H83" s="2">
        <v>136535</v>
      </c>
      <c r="I83" s="1">
        <v>43770</v>
      </c>
      <c r="J83" t="s">
        <v>30</v>
      </c>
      <c r="K83">
        <v>2019</v>
      </c>
      <c r="L83" s="2"/>
    </row>
    <row r="84" spans="1:12" x14ac:dyDescent="0.3">
      <c r="A84" t="s">
        <v>3</v>
      </c>
      <c r="B84" t="s">
        <v>33</v>
      </c>
      <c r="C84" t="s">
        <v>6</v>
      </c>
      <c r="D84" s="2">
        <v>754250</v>
      </c>
      <c r="E84" s="2">
        <v>7542.5</v>
      </c>
      <c r="F84" s="2">
        <v>746707.5</v>
      </c>
      <c r="G84" s="2">
        <v>560300</v>
      </c>
      <c r="H84" s="2">
        <v>186407.5</v>
      </c>
      <c r="I84" s="1">
        <v>43800</v>
      </c>
      <c r="J84" t="s">
        <v>24</v>
      </c>
      <c r="K84">
        <v>2019</v>
      </c>
      <c r="L84" s="2"/>
    </row>
    <row r="85" spans="1:12" x14ac:dyDescent="0.3">
      <c r="A85" t="s">
        <v>3</v>
      </c>
      <c r="B85" t="s">
        <v>33</v>
      </c>
      <c r="C85" t="s">
        <v>7</v>
      </c>
      <c r="D85" s="2">
        <v>77280</v>
      </c>
      <c r="E85" s="2">
        <v>772.80000000000007</v>
      </c>
      <c r="F85" s="2">
        <v>76507.200000000012</v>
      </c>
      <c r="G85" s="2">
        <v>38640</v>
      </c>
      <c r="H85" s="2">
        <v>37867.200000000012</v>
      </c>
      <c r="I85" s="1">
        <v>43556</v>
      </c>
      <c r="J85" t="s">
        <v>38</v>
      </c>
      <c r="K85">
        <v>2019</v>
      </c>
      <c r="L85" s="2"/>
    </row>
    <row r="86" spans="1:12" x14ac:dyDescent="0.3">
      <c r="A86" t="s">
        <v>3</v>
      </c>
      <c r="B86" t="s">
        <v>32</v>
      </c>
      <c r="C86" t="s">
        <v>7</v>
      </c>
      <c r="D86" s="2">
        <v>2534</v>
      </c>
      <c r="E86" s="2">
        <v>25.34</v>
      </c>
      <c r="F86" s="2">
        <v>2508.66</v>
      </c>
      <c r="G86" s="2">
        <v>1810</v>
      </c>
      <c r="H86" s="2">
        <v>698.65999999999985</v>
      </c>
      <c r="I86" s="1">
        <v>43586</v>
      </c>
      <c r="J86" t="s">
        <v>31</v>
      </c>
      <c r="K86">
        <v>2019</v>
      </c>
      <c r="L86" s="2"/>
    </row>
    <row r="87" spans="1:12" x14ac:dyDescent="0.3">
      <c r="A87" t="s">
        <v>17</v>
      </c>
      <c r="B87" t="s">
        <v>10</v>
      </c>
      <c r="C87" t="s">
        <v>7</v>
      </c>
      <c r="D87" s="2">
        <v>115375</v>
      </c>
      <c r="E87" s="2">
        <v>1153.75</v>
      </c>
      <c r="F87" s="2">
        <v>114221.25</v>
      </c>
      <c r="G87" s="2">
        <v>110760</v>
      </c>
      <c r="H87" s="2">
        <v>3461.25</v>
      </c>
      <c r="I87" s="1">
        <v>43678</v>
      </c>
      <c r="J87" t="s">
        <v>27</v>
      </c>
      <c r="K87">
        <v>2019</v>
      </c>
      <c r="L87" s="2"/>
    </row>
    <row r="88" spans="1:12" x14ac:dyDescent="0.3">
      <c r="A88" t="s">
        <v>17</v>
      </c>
      <c r="B88" t="s">
        <v>12</v>
      </c>
      <c r="C88" t="s">
        <v>7</v>
      </c>
      <c r="D88" s="2">
        <v>82875</v>
      </c>
      <c r="E88" s="2">
        <v>828.75</v>
      </c>
      <c r="F88" s="2">
        <v>82046.25</v>
      </c>
      <c r="G88" s="2">
        <v>79560</v>
      </c>
      <c r="H88" s="2">
        <v>2486.25</v>
      </c>
      <c r="I88" s="1">
        <v>43374</v>
      </c>
      <c r="J88" t="s">
        <v>29</v>
      </c>
      <c r="K88">
        <v>2018</v>
      </c>
      <c r="L88" s="2"/>
    </row>
    <row r="89" spans="1:12" x14ac:dyDescent="0.3">
      <c r="A89" t="s">
        <v>3</v>
      </c>
      <c r="B89" t="s">
        <v>10</v>
      </c>
      <c r="C89" t="s">
        <v>7</v>
      </c>
      <c r="D89" s="2">
        <v>14644</v>
      </c>
      <c r="E89" s="2">
        <v>146.44</v>
      </c>
      <c r="F89" s="2">
        <v>14497.56</v>
      </c>
      <c r="G89" s="2">
        <v>10460</v>
      </c>
      <c r="H89" s="2">
        <v>4037.5599999999995</v>
      </c>
      <c r="I89" s="1">
        <v>43405</v>
      </c>
      <c r="J89" t="s">
        <v>30</v>
      </c>
      <c r="K89">
        <v>2018</v>
      </c>
      <c r="L89" s="2"/>
    </row>
    <row r="90" spans="1:12" x14ac:dyDescent="0.3">
      <c r="A90" t="s">
        <v>3</v>
      </c>
      <c r="B90" t="s">
        <v>11</v>
      </c>
      <c r="C90" t="s">
        <v>8</v>
      </c>
      <c r="D90" s="2">
        <v>1841</v>
      </c>
      <c r="E90" s="2">
        <v>18.41</v>
      </c>
      <c r="F90" s="2">
        <v>1822.59</v>
      </c>
      <c r="G90" s="2">
        <v>1315</v>
      </c>
      <c r="H90" s="2">
        <v>507.58999999999992</v>
      </c>
      <c r="I90" s="1">
        <v>43525</v>
      </c>
      <c r="J90" t="s">
        <v>25</v>
      </c>
      <c r="K90">
        <v>2019</v>
      </c>
      <c r="L90" s="2"/>
    </row>
    <row r="91" spans="1:12" x14ac:dyDescent="0.3">
      <c r="A91" t="s">
        <v>3</v>
      </c>
      <c r="B91" t="s">
        <v>10</v>
      </c>
      <c r="C91" t="s">
        <v>8</v>
      </c>
      <c r="D91" s="2">
        <v>330225</v>
      </c>
      <c r="E91" s="2">
        <v>3302.25</v>
      </c>
      <c r="F91" s="2">
        <v>326922.75</v>
      </c>
      <c r="G91" s="2">
        <v>245310</v>
      </c>
      <c r="H91" s="2">
        <v>81612.75</v>
      </c>
      <c r="I91" s="1">
        <v>43556</v>
      </c>
      <c r="J91" t="s">
        <v>38</v>
      </c>
      <c r="K91">
        <v>2019</v>
      </c>
      <c r="L91" s="2"/>
    </row>
    <row r="92" spans="1:12" x14ac:dyDescent="0.3">
      <c r="A92" t="s">
        <v>17</v>
      </c>
      <c r="B92" t="s">
        <v>12</v>
      </c>
      <c r="C92" t="s">
        <v>8</v>
      </c>
      <c r="D92" s="2">
        <v>90875</v>
      </c>
      <c r="E92" s="2">
        <v>908.75</v>
      </c>
      <c r="F92" s="2">
        <v>89966.25</v>
      </c>
      <c r="G92" s="2">
        <v>87240</v>
      </c>
      <c r="H92" s="2">
        <v>2726.25</v>
      </c>
      <c r="I92" s="1">
        <v>43617</v>
      </c>
      <c r="J92" t="s">
        <v>23</v>
      </c>
      <c r="K92">
        <v>2019</v>
      </c>
      <c r="L92" s="2"/>
    </row>
    <row r="93" spans="1:12" x14ac:dyDescent="0.3">
      <c r="A93" t="s">
        <v>17</v>
      </c>
      <c r="B93" t="s">
        <v>33</v>
      </c>
      <c r="C93" t="s">
        <v>8</v>
      </c>
      <c r="D93" s="2">
        <v>98375</v>
      </c>
      <c r="E93" s="2">
        <v>983.75</v>
      </c>
      <c r="F93" s="2">
        <v>97391.25</v>
      </c>
      <c r="G93" s="2">
        <v>94440</v>
      </c>
      <c r="H93" s="2">
        <v>2951.25</v>
      </c>
      <c r="I93" s="1">
        <v>43617</v>
      </c>
      <c r="J93" t="s">
        <v>23</v>
      </c>
      <c r="K93">
        <v>2019</v>
      </c>
      <c r="L93" s="2"/>
    </row>
    <row r="94" spans="1:12" x14ac:dyDescent="0.3">
      <c r="A94" t="s">
        <v>13</v>
      </c>
      <c r="B94" t="s">
        <v>11</v>
      </c>
      <c r="C94" t="s">
        <v>8</v>
      </c>
      <c r="D94" s="2">
        <v>295800</v>
      </c>
      <c r="E94" s="2">
        <v>2958</v>
      </c>
      <c r="F94" s="2">
        <v>292842</v>
      </c>
      <c r="G94" s="2">
        <v>246500</v>
      </c>
      <c r="H94" s="2">
        <v>46342</v>
      </c>
      <c r="I94" s="1">
        <v>43709</v>
      </c>
      <c r="J94" t="s">
        <v>28</v>
      </c>
      <c r="K94">
        <v>2019</v>
      </c>
      <c r="L94" s="2"/>
    </row>
    <row r="95" spans="1:12" x14ac:dyDescent="0.3">
      <c r="A95" t="s">
        <v>13</v>
      </c>
      <c r="B95" t="s">
        <v>32</v>
      </c>
      <c r="C95" t="s">
        <v>8</v>
      </c>
      <c r="D95" s="2">
        <v>148200</v>
      </c>
      <c r="E95" s="2">
        <v>1482</v>
      </c>
      <c r="F95" s="2">
        <v>146718</v>
      </c>
      <c r="G95" s="2">
        <v>123500</v>
      </c>
      <c r="H95" s="2">
        <v>23218</v>
      </c>
      <c r="I95" s="1">
        <v>43374</v>
      </c>
      <c r="J95" t="s">
        <v>29</v>
      </c>
      <c r="K95">
        <v>2018</v>
      </c>
      <c r="L95" s="2"/>
    </row>
    <row r="96" spans="1:12" x14ac:dyDescent="0.3">
      <c r="A96" t="s">
        <v>3</v>
      </c>
      <c r="B96" t="s">
        <v>32</v>
      </c>
      <c r="C96" t="s">
        <v>8</v>
      </c>
      <c r="D96" s="2">
        <v>488950</v>
      </c>
      <c r="E96" s="2">
        <v>4889.5</v>
      </c>
      <c r="F96" s="2">
        <v>484060.5</v>
      </c>
      <c r="G96" s="2">
        <v>363220</v>
      </c>
      <c r="H96" s="2">
        <v>120840.5</v>
      </c>
      <c r="I96" s="1">
        <v>43739</v>
      </c>
      <c r="J96" t="s">
        <v>29</v>
      </c>
      <c r="K96">
        <v>2019</v>
      </c>
      <c r="L96" s="2"/>
    </row>
    <row r="97" spans="1:12" x14ac:dyDescent="0.3">
      <c r="A97" t="s">
        <v>17</v>
      </c>
      <c r="B97" t="s">
        <v>33</v>
      </c>
      <c r="C97" t="s">
        <v>8</v>
      </c>
      <c r="D97" s="2">
        <v>218000</v>
      </c>
      <c r="E97" s="2">
        <v>2180</v>
      </c>
      <c r="F97" s="2">
        <v>215820</v>
      </c>
      <c r="G97" s="2">
        <v>209280</v>
      </c>
      <c r="H97" s="2">
        <v>6540</v>
      </c>
      <c r="I97" s="1">
        <v>43770</v>
      </c>
      <c r="J97" t="s">
        <v>30</v>
      </c>
      <c r="K97">
        <v>2019</v>
      </c>
      <c r="L97" s="2"/>
    </row>
    <row r="98" spans="1:12" x14ac:dyDescent="0.3">
      <c r="A98" t="s">
        <v>14</v>
      </c>
      <c r="B98" t="s">
        <v>12</v>
      </c>
      <c r="C98" t="s">
        <v>9</v>
      </c>
      <c r="D98" s="2">
        <v>23868</v>
      </c>
      <c r="E98" s="2">
        <v>238.68</v>
      </c>
      <c r="F98" s="2">
        <v>23629.32</v>
      </c>
      <c r="G98" s="2">
        <v>5967</v>
      </c>
      <c r="H98" s="2">
        <v>17662.32</v>
      </c>
      <c r="I98" s="1">
        <v>43344</v>
      </c>
      <c r="J98" t="s">
        <v>28</v>
      </c>
      <c r="K98">
        <v>2018</v>
      </c>
      <c r="L98" s="2"/>
    </row>
    <row r="99" spans="1:12" x14ac:dyDescent="0.3">
      <c r="A99" t="s">
        <v>16</v>
      </c>
      <c r="B99" t="s">
        <v>33</v>
      </c>
      <c r="C99" t="s">
        <v>9</v>
      </c>
      <c r="D99" s="2">
        <v>4815</v>
      </c>
      <c r="E99" s="2">
        <v>48.15</v>
      </c>
      <c r="F99" s="2">
        <v>4766.8500000000004</v>
      </c>
      <c r="G99" s="2">
        <v>3210</v>
      </c>
      <c r="H99" s="2">
        <v>1556.8500000000004</v>
      </c>
      <c r="I99" s="1">
        <v>43405</v>
      </c>
      <c r="J99" t="s">
        <v>30</v>
      </c>
      <c r="K99">
        <v>2018</v>
      </c>
      <c r="L99" s="2"/>
    </row>
    <row r="100" spans="1:12" x14ac:dyDescent="0.3">
      <c r="A100" t="s">
        <v>17</v>
      </c>
      <c r="B100" t="s">
        <v>10</v>
      </c>
      <c r="C100" t="s">
        <v>2</v>
      </c>
      <c r="D100" s="2">
        <v>92812.5</v>
      </c>
      <c r="E100" s="2">
        <v>1856.25</v>
      </c>
      <c r="F100" s="2">
        <v>90956.25</v>
      </c>
      <c r="G100" s="2">
        <v>98010.000000000015</v>
      </c>
      <c r="H100" s="2">
        <v>-7053.7500000000146</v>
      </c>
      <c r="I100" s="1">
        <v>43556</v>
      </c>
      <c r="J100" t="s">
        <v>38</v>
      </c>
      <c r="K100">
        <v>2019</v>
      </c>
      <c r="L100" s="2"/>
    </row>
    <row r="101" spans="1:12" x14ac:dyDescent="0.3">
      <c r="A101" t="s">
        <v>14</v>
      </c>
      <c r="B101" t="s">
        <v>10</v>
      </c>
      <c r="C101" t="s">
        <v>2</v>
      </c>
      <c r="D101" s="2">
        <v>15540</v>
      </c>
      <c r="E101" s="2">
        <v>310.8</v>
      </c>
      <c r="F101" s="2">
        <v>15229.2</v>
      </c>
      <c r="G101" s="2">
        <v>4273.5</v>
      </c>
      <c r="H101" s="2">
        <v>10955.7</v>
      </c>
      <c r="I101" s="1">
        <v>43739</v>
      </c>
      <c r="J101" t="s">
        <v>29</v>
      </c>
      <c r="K101">
        <v>2019</v>
      </c>
      <c r="L101" s="2"/>
    </row>
    <row r="102" spans="1:12" x14ac:dyDescent="0.3">
      <c r="A102" t="s">
        <v>13</v>
      </c>
      <c r="B102" t="s">
        <v>11</v>
      </c>
      <c r="C102" t="s">
        <v>2</v>
      </c>
      <c r="D102" s="2">
        <v>64200</v>
      </c>
      <c r="E102" s="2">
        <v>1284</v>
      </c>
      <c r="F102" s="2">
        <v>62916</v>
      </c>
      <c r="G102" s="2">
        <v>58850.000000000007</v>
      </c>
      <c r="H102" s="2">
        <v>4065.9999999999927</v>
      </c>
      <c r="I102" s="1">
        <v>43374</v>
      </c>
      <c r="J102" t="s">
        <v>29</v>
      </c>
      <c r="K102">
        <v>2018</v>
      </c>
      <c r="L102" s="2"/>
    </row>
    <row r="103" spans="1:12" x14ac:dyDescent="0.3">
      <c r="A103" t="s">
        <v>3</v>
      </c>
      <c r="B103" t="s">
        <v>33</v>
      </c>
      <c r="C103" t="s">
        <v>2</v>
      </c>
      <c r="D103" s="2">
        <v>15015</v>
      </c>
      <c r="E103" s="2">
        <v>300.3</v>
      </c>
      <c r="F103" s="2">
        <v>14714.7</v>
      </c>
      <c r="G103" s="2">
        <v>11797.500000000002</v>
      </c>
      <c r="H103" s="2">
        <v>2917.1999999999989</v>
      </c>
      <c r="I103" s="1">
        <v>43405</v>
      </c>
      <c r="J103" t="s">
        <v>30</v>
      </c>
      <c r="K103">
        <v>2018</v>
      </c>
      <c r="L103" s="2"/>
    </row>
    <row r="104" spans="1:12" x14ac:dyDescent="0.3">
      <c r="A104" t="s">
        <v>3</v>
      </c>
      <c r="B104" t="s">
        <v>10</v>
      </c>
      <c r="C104" t="s">
        <v>2</v>
      </c>
      <c r="D104" s="2">
        <v>998200</v>
      </c>
      <c r="E104" s="2">
        <v>19964</v>
      </c>
      <c r="F104" s="2">
        <v>978236</v>
      </c>
      <c r="G104" s="2">
        <v>815672.00000000012</v>
      </c>
      <c r="H104" s="2">
        <v>162563.99999999988</v>
      </c>
      <c r="I104" s="1">
        <v>43800</v>
      </c>
      <c r="J104" t="s">
        <v>24</v>
      </c>
      <c r="K104">
        <v>2019</v>
      </c>
      <c r="L104" s="2"/>
    </row>
    <row r="105" spans="1:12" x14ac:dyDescent="0.3">
      <c r="A105" t="s">
        <v>14</v>
      </c>
      <c r="B105" t="s">
        <v>12</v>
      </c>
      <c r="C105" t="s">
        <v>5</v>
      </c>
      <c r="D105" s="2">
        <v>13704</v>
      </c>
      <c r="E105" s="2">
        <v>274.08</v>
      </c>
      <c r="F105" s="2">
        <v>13429.92</v>
      </c>
      <c r="G105" s="2">
        <v>3426</v>
      </c>
      <c r="H105" s="2">
        <v>10003.92</v>
      </c>
      <c r="I105" s="1">
        <v>43617</v>
      </c>
      <c r="J105" t="s">
        <v>23</v>
      </c>
      <c r="K105">
        <v>2019</v>
      </c>
      <c r="L105" s="2"/>
    </row>
    <row r="106" spans="1:12" x14ac:dyDescent="0.3">
      <c r="A106" t="s">
        <v>3</v>
      </c>
      <c r="B106" t="s">
        <v>12</v>
      </c>
      <c r="C106" t="s">
        <v>5</v>
      </c>
      <c r="D106" s="2">
        <v>31320</v>
      </c>
      <c r="E106" s="2">
        <v>626.4</v>
      </c>
      <c r="F106" s="2">
        <v>30693.599999999999</v>
      </c>
      <c r="G106" s="2">
        <v>15660</v>
      </c>
      <c r="H106" s="2">
        <v>15033.599999999999</v>
      </c>
      <c r="I106" s="1">
        <v>43739</v>
      </c>
      <c r="J106" t="s">
        <v>29</v>
      </c>
      <c r="K106">
        <v>2019</v>
      </c>
      <c r="L106" s="2"/>
    </row>
    <row r="107" spans="1:12" x14ac:dyDescent="0.3">
      <c r="A107" t="s">
        <v>14</v>
      </c>
      <c r="B107" t="s">
        <v>32</v>
      </c>
      <c r="C107" t="s">
        <v>5</v>
      </c>
      <c r="D107" s="2">
        <v>8280</v>
      </c>
      <c r="E107" s="2">
        <v>165.6</v>
      </c>
      <c r="F107" s="2">
        <v>8114.4</v>
      </c>
      <c r="G107" s="2">
        <v>2070</v>
      </c>
      <c r="H107" s="2">
        <v>6044.4</v>
      </c>
      <c r="I107" s="1">
        <v>43770</v>
      </c>
      <c r="J107" t="s">
        <v>30</v>
      </c>
      <c r="K107">
        <v>2019</v>
      </c>
      <c r="L107" s="2"/>
    </row>
    <row r="108" spans="1:12" x14ac:dyDescent="0.3">
      <c r="A108" t="s">
        <v>17</v>
      </c>
      <c r="B108" t="s">
        <v>32</v>
      </c>
      <c r="C108" t="s">
        <v>5</v>
      </c>
      <c r="D108" s="2">
        <v>207500</v>
      </c>
      <c r="E108" s="2">
        <v>4150</v>
      </c>
      <c r="F108" s="2">
        <v>203350</v>
      </c>
      <c r="G108" s="2">
        <v>199200</v>
      </c>
      <c r="H108" s="2">
        <v>4150</v>
      </c>
      <c r="I108" s="1">
        <v>43405</v>
      </c>
      <c r="J108" t="s">
        <v>30</v>
      </c>
      <c r="K108">
        <v>2018</v>
      </c>
      <c r="L108" s="2"/>
    </row>
    <row r="109" spans="1:12" x14ac:dyDescent="0.3">
      <c r="A109" t="s">
        <v>16</v>
      </c>
      <c r="B109" t="s">
        <v>10</v>
      </c>
      <c r="C109" t="s">
        <v>6</v>
      </c>
      <c r="D109" s="2">
        <v>35445</v>
      </c>
      <c r="E109" s="2">
        <v>708.9</v>
      </c>
      <c r="F109" s="2">
        <v>34736.1</v>
      </c>
      <c r="G109" s="2">
        <v>23630</v>
      </c>
      <c r="H109" s="2">
        <v>11106.099999999999</v>
      </c>
      <c r="I109" s="1">
        <v>43497</v>
      </c>
      <c r="J109" t="s">
        <v>22</v>
      </c>
      <c r="K109">
        <v>2019</v>
      </c>
      <c r="L109" s="2"/>
    </row>
    <row r="110" spans="1:12" x14ac:dyDescent="0.3">
      <c r="A110" t="s">
        <v>13</v>
      </c>
      <c r="B110" t="s">
        <v>33</v>
      </c>
      <c r="C110" t="s">
        <v>6</v>
      </c>
      <c r="D110" s="2">
        <v>275400</v>
      </c>
      <c r="E110" s="2">
        <v>5508</v>
      </c>
      <c r="F110" s="2">
        <v>269892</v>
      </c>
      <c r="G110" s="2">
        <v>229500</v>
      </c>
      <c r="H110" s="2">
        <v>40392</v>
      </c>
      <c r="I110" s="1">
        <v>43586</v>
      </c>
      <c r="J110" t="s">
        <v>31</v>
      </c>
      <c r="K110">
        <v>2019</v>
      </c>
      <c r="L110" s="2"/>
    </row>
    <row r="111" spans="1:12" x14ac:dyDescent="0.3">
      <c r="A111" t="s">
        <v>13</v>
      </c>
      <c r="B111" t="s">
        <v>11</v>
      </c>
      <c r="C111" t="s">
        <v>6</v>
      </c>
      <c r="D111" s="2">
        <v>518400</v>
      </c>
      <c r="E111" s="2">
        <v>10368</v>
      </c>
      <c r="F111" s="2">
        <v>508032</v>
      </c>
      <c r="G111" s="2">
        <v>432000</v>
      </c>
      <c r="H111" s="2">
        <v>76032</v>
      </c>
      <c r="I111" s="1">
        <v>43586</v>
      </c>
      <c r="J111" t="s">
        <v>31</v>
      </c>
      <c r="K111">
        <v>2019</v>
      </c>
      <c r="L111" s="2"/>
    </row>
    <row r="112" spans="1:12" x14ac:dyDescent="0.3">
      <c r="A112" t="s">
        <v>14</v>
      </c>
      <c r="B112" t="s">
        <v>12</v>
      </c>
      <c r="C112" t="s">
        <v>6</v>
      </c>
      <c r="D112" s="2">
        <v>13704</v>
      </c>
      <c r="E112" s="2">
        <v>274.08</v>
      </c>
      <c r="F112" s="2">
        <v>13429.92</v>
      </c>
      <c r="G112" s="2">
        <v>3426</v>
      </c>
      <c r="H112" s="2">
        <v>10003.92</v>
      </c>
      <c r="I112" s="1">
        <v>43617</v>
      </c>
      <c r="J112" t="s">
        <v>23</v>
      </c>
      <c r="K112">
        <v>2019</v>
      </c>
      <c r="L112" s="2"/>
    </row>
    <row r="113" spans="1:12" x14ac:dyDescent="0.3">
      <c r="A113" t="s">
        <v>17</v>
      </c>
      <c r="B113" t="s">
        <v>32</v>
      </c>
      <c r="C113" t="s">
        <v>6</v>
      </c>
      <c r="D113" s="2">
        <v>82750</v>
      </c>
      <c r="E113" s="2">
        <v>1655</v>
      </c>
      <c r="F113" s="2">
        <v>81095</v>
      </c>
      <c r="G113" s="2">
        <v>79440</v>
      </c>
      <c r="H113" s="2">
        <v>1655</v>
      </c>
      <c r="I113" s="1">
        <v>43617</v>
      </c>
      <c r="J113" t="s">
        <v>23</v>
      </c>
      <c r="K113">
        <v>2019</v>
      </c>
      <c r="L113" s="2"/>
    </row>
    <row r="114" spans="1:12" x14ac:dyDescent="0.3">
      <c r="A114" t="s">
        <v>14</v>
      </c>
      <c r="B114" t="s">
        <v>10</v>
      </c>
      <c r="C114" t="s">
        <v>6</v>
      </c>
      <c r="D114" s="2">
        <v>15540</v>
      </c>
      <c r="E114" s="2">
        <v>310.8</v>
      </c>
      <c r="F114" s="2">
        <v>15229.2</v>
      </c>
      <c r="G114" s="2">
        <v>3885</v>
      </c>
      <c r="H114" s="2">
        <v>11344.2</v>
      </c>
      <c r="I114" s="1">
        <v>43739</v>
      </c>
      <c r="J114" t="s">
        <v>29</v>
      </c>
      <c r="K114">
        <v>2019</v>
      </c>
      <c r="L114" s="2"/>
    </row>
    <row r="115" spans="1:12" x14ac:dyDescent="0.3">
      <c r="A115" t="s">
        <v>17</v>
      </c>
      <c r="B115" t="s">
        <v>11</v>
      </c>
      <c r="C115" t="s">
        <v>6</v>
      </c>
      <c r="D115" s="2">
        <v>101125</v>
      </c>
      <c r="E115" s="2">
        <v>2022.5</v>
      </c>
      <c r="F115" s="2">
        <v>99102.5</v>
      </c>
      <c r="G115" s="2">
        <v>97080</v>
      </c>
      <c r="H115" s="2">
        <v>2022.5</v>
      </c>
      <c r="I115" s="1">
        <v>43374</v>
      </c>
      <c r="J115" t="s">
        <v>29</v>
      </c>
      <c r="K115">
        <v>2018</v>
      </c>
      <c r="L115" s="2"/>
    </row>
    <row r="116" spans="1:12" x14ac:dyDescent="0.3">
      <c r="A116" t="s">
        <v>17</v>
      </c>
      <c r="B116" t="s">
        <v>32</v>
      </c>
      <c r="C116" t="s">
        <v>6</v>
      </c>
      <c r="D116" s="2">
        <v>268125</v>
      </c>
      <c r="E116" s="2">
        <v>5362.5</v>
      </c>
      <c r="F116" s="2">
        <v>262762.5</v>
      </c>
      <c r="G116" s="2">
        <v>257400</v>
      </c>
      <c r="H116" s="2">
        <v>5362.5</v>
      </c>
      <c r="I116" s="1">
        <v>43374</v>
      </c>
      <c r="J116" t="s">
        <v>29</v>
      </c>
      <c r="K116">
        <v>2018</v>
      </c>
      <c r="L116" s="2"/>
    </row>
    <row r="117" spans="1:12" x14ac:dyDescent="0.3">
      <c r="A117" t="s">
        <v>14</v>
      </c>
      <c r="B117" t="s">
        <v>33</v>
      </c>
      <c r="C117" t="s">
        <v>6</v>
      </c>
      <c r="D117" s="2">
        <v>21420</v>
      </c>
      <c r="E117" s="2">
        <v>428.4</v>
      </c>
      <c r="F117" s="2">
        <v>20991.599999999999</v>
      </c>
      <c r="G117" s="2">
        <v>5355</v>
      </c>
      <c r="H117" s="2">
        <v>15636.599999999999</v>
      </c>
      <c r="I117" s="1">
        <v>43405</v>
      </c>
      <c r="J117" t="s">
        <v>30</v>
      </c>
      <c r="K117">
        <v>2018</v>
      </c>
      <c r="L117" s="2"/>
    </row>
    <row r="118" spans="1:12" x14ac:dyDescent="0.3">
      <c r="A118" t="s">
        <v>13</v>
      </c>
      <c r="B118" t="s">
        <v>10</v>
      </c>
      <c r="C118" t="s">
        <v>6</v>
      </c>
      <c r="D118" s="2">
        <v>574800</v>
      </c>
      <c r="E118" s="2">
        <v>11496</v>
      </c>
      <c r="F118" s="2">
        <v>563304</v>
      </c>
      <c r="G118" s="2">
        <v>479000</v>
      </c>
      <c r="H118" s="2">
        <v>84304</v>
      </c>
      <c r="I118" s="1">
        <v>43800</v>
      </c>
      <c r="J118" t="s">
        <v>24</v>
      </c>
      <c r="K118">
        <v>2019</v>
      </c>
      <c r="L118" s="2"/>
    </row>
    <row r="119" spans="1:12" x14ac:dyDescent="0.3">
      <c r="A119" t="s">
        <v>3</v>
      </c>
      <c r="B119" t="s">
        <v>10</v>
      </c>
      <c r="C119" t="s">
        <v>6</v>
      </c>
      <c r="D119" s="2">
        <v>998200</v>
      </c>
      <c r="E119" s="2">
        <v>19964</v>
      </c>
      <c r="F119" s="2">
        <v>978236</v>
      </c>
      <c r="G119" s="2">
        <v>741520</v>
      </c>
      <c r="H119" s="2">
        <v>236716</v>
      </c>
      <c r="I119" s="1">
        <v>43800</v>
      </c>
      <c r="J119" t="s">
        <v>24</v>
      </c>
      <c r="K119">
        <v>2019</v>
      </c>
      <c r="L119" s="2"/>
    </row>
    <row r="120" spans="1:12" x14ac:dyDescent="0.3">
      <c r="A120" t="s">
        <v>17</v>
      </c>
      <c r="B120" t="s">
        <v>10</v>
      </c>
      <c r="C120" t="s">
        <v>6</v>
      </c>
      <c r="D120" s="2">
        <v>341125</v>
      </c>
      <c r="E120" s="2">
        <v>6822.5</v>
      </c>
      <c r="F120" s="2">
        <v>334302.5</v>
      </c>
      <c r="G120" s="2">
        <v>327480</v>
      </c>
      <c r="H120" s="2">
        <v>6822.5</v>
      </c>
      <c r="I120" s="1">
        <v>43800</v>
      </c>
      <c r="J120" t="s">
        <v>24</v>
      </c>
      <c r="K120">
        <v>2019</v>
      </c>
      <c r="L120" s="2"/>
    </row>
    <row r="121" spans="1:12" x14ac:dyDescent="0.3">
      <c r="A121" t="s">
        <v>16</v>
      </c>
      <c r="B121" t="s">
        <v>12</v>
      </c>
      <c r="C121" t="s">
        <v>6</v>
      </c>
      <c r="D121" s="2">
        <v>28875</v>
      </c>
      <c r="E121" s="2">
        <v>577.5</v>
      </c>
      <c r="F121" s="2">
        <v>28297.5</v>
      </c>
      <c r="G121" s="2">
        <v>19250</v>
      </c>
      <c r="H121" s="2">
        <v>9047.5</v>
      </c>
      <c r="I121" s="1">
        <v>43435</v>
      </c>
      <c r="J121" t="s">
        <v>24</v>
      </c>
      <c r="K121">
        <v>2018</v>
      </c>
      <c r="L121" s="2"/>
    </row>
    <row r="122" spans="1:12" x14ac:dyDescent="0.3">
      <c r="A122" t="s">
        <v>3</v>
      </c>
      <c r="B122" t="s">
        <v>12</v>
      </c>
      <c r="C122" t="s">
        <v>6</v>
      </c>
      <c r="D122" s="2">
        <v>14091</v>
      </c>
      <c r="E122" s="2">
        <v>281.82</v>
      </c>
      <c r="F122" s="2">
        <v>13809.18</v>
      </c>
      <c r="G122" s="2">
        <v>10065</v>
      </c>
      <c r="H122" s="2">
        <v>3744.1800000000003</v>
      </c>
      <c r="I122" s="1">
        <v>43435</v>
      </c>
      <c r="J122" t="s">
        <v>24</v>
      </c>
      <c r="K122">
        <v>2018</v>
      </c>
      <c r="L122" s="2"/>
    </row>
    <row r="123" spans="1:12" x14ac:dyDescent="0.3">
      <c r="A123" t="s">
        <v>14</v>
      </c>
      <c r="B123" t="s">
        <v>33</v>
      </c>
      <c r="C123" t="s">
        <v>6</v>
      </c>
      <c r="D123" s="2">
        <v>12660</v>
      </c>
      <c r="E123" s="2">
        <v>253.2</v>
      </c>
      <c r="F123" s="2">
        <v>12406.8</v>
      </c>
      <c r="G123" s="2">
        <v>3165</v>
      </c>
      <c r="H123" s="2">
        <v>9241.7999999999993</v>
      </c>
      <c r="I123" s="1">
        <v>43800</v>
      </c>
      <c r="J123" t="s">
        <v>24</v>
      </c>
      <c r="K123">
        <v>2019</v>
      </c>
      <c r="L123" s="2"/>
    </row>
    <row r="124" spans="1:12" x14ac:dyDescent="0.3">
      <c r="A124" t="s">
        <v>14</v>
      </c>
      <c r="B124" t="s">
        <v>32</v>
      </c>
      <c r="C124" t="s">
        <v>6</v>
      </c>
      <c r="D124" s="2">
        <v>13008</v>
      </c>
      <c r="E124" s="2">
        <v>260.16000000000003</v>
      </c>
      <c r="F124" s="2">
        <v>12747.84</v>
      </c>
      <c r="G124" s="2">
        <v>3252</v>
      </c>
      <c r="H124" s="2">
        <v>9495.84</v>
      </c>
      <c r="I124" s="1">
        <v>43800</v>
      </c>
      <c r="J124" t="s">
        <v>24</v>
      </c>
      <c r="K124">
        <v>2019</v>
      </c>
      <c r="L124" s="2"/>
    </row>
    <row r="125" spans="1:12" x14ac:dyDescent="0.3">
      <c r="A125" t="s">
        <v>3</v>
      </c>
      <c r="B125" t="s">
        <v>12</v>
      </c>
      <c r="C125" t="s">
        <v>7</v>
      </c>
      <c r="D125" s="2">
        <v>31320</v>
      </c>
      <c r="E125" s="2">
        <v>626.4</v>
      </c>
      <c r="F125" s="2">
        <v>30693.599999999999</v>
      </c>
      <c r="G125" s="2">
        <v>15660</v>
      </c>
      <c r="H125" s="2">
        <v>15033.599999999999</v>
      </c>
      <c r="I125" s="1">
        <v>43739</v>
      </c>
      <c r="J125" t="s">
        <v>29</v>
      </c>
      <c r="K125">
        <v>2019</v>
      </c>
      <c r="L125" s="2"/>
    </row>
    <row r="126" spans="1:12" x14ac:dyDescent="0.3">
      <c r="A126" t="s">
        <v>3</v>
      </c>
      <c r="B126" t="s">
        <v>11</v>
      </c>
      <c r="C126" t="s">
        <v>7</v>
      </c>
      <c r="D126" s="2">
        <v>1038100</v>
      </c>
      <c r="E126" s="2">
        <v>20762</v>
      </c>
      <c r="F126" s="2">
        <v>1017338</v>
      </c>
      <c r="G126" s="2">
        <v>771160</v>
      </c>
      <c r="H126" s="2">
        <v>246178</v>
      </c>
      <c r="I126" s="1">
        <v>43374</v>
      </c>
      <c r="J126" t="s">
        <v>29</v>
      </c>
      <c r="K126">
        <v>2018</v>
      </c>
      <c r="L126" s="2"/>
    </row>
    <row r="127" spans="1:12" x14ac:dyDescent="0.3">
      <c r="A127" t="s">
        <v>3</v>
      </c>
      <c r="B127" t="s">
        <v>11</v>
      </c>
      <c r="C127" t="s">
        <v>7</v>
      </c>
      <c r="D127" s="2">
        <v>1006950</v>
      </c>
      <c r="E127" s="2">
        <v>20139</v>
      </c>
      <c r="F127" s="2">
        <v>986811</v>
      </c>
      <c r="G127" s="2">
        <v>748020</v>
      </c>
      <c r="H127" s="2">
        <v>238791</v>
      </c>
      <c r="I127" s="1">
        <v>43739</v>
      </c>
      <c r="J127" t="s">
        <v>29</v>
      </c>
      <c r="K127">
        <v>2019</v>
      </c>
      <c r="L127" s="2"/>
    </row>
    <row r="128" spans="1:12" x14ac:dyDescent="0.3">
      <c r="A128" t="s">
        <v>17</v>
      </c>
      <c r="B128" t="s">
        <v>11</v>
      </c>
      <c r="C128" t="s">
        <v>7</v>
      </c>
      <c r="D128" s="2">
        <v>101125</v>
      </c>
      <c r="E128" s="2">
        <v>2022.5</v>
      </c>
      <c r="F128" s="2">
        <v>99102.5</v>
      </c>
      <c r="G128" s="2">
        <v>97080</v>
      </c>
      <c r="H128" s="2">
        <v>2022.5</v>
      </c>
      <c r="I128" s="1">
        <v>43374</v>
      </c>
      <c r="J128" t="s">
        <v>29</v>
      </c>
      <c r="K128">
        <v>2018</v>
      </c>
      <c r="L128" s="2"/>
    </row>
    <row r="129" spans="1:12" x14ac:dyDescent="0.3">
      <c r="A129" t="s">
        <v>17</v>
      </c>
      <c r="B129" t="s">
        <v>32</v>
      </c>
      <c r="C129" t="s">
        <v>7</v>
      </c>
      <c r="D129" s="2">
        <v>268125</v>
      </c>
      <c r="E129" s="2">
        <v>5362.5</v>
      </c>
      <c r="F129" s="2">
        <v>262762.5</v>
      </c>
      <c r="G129" s="2">
        <v>257400</v>
      </c>
      <c r="H129" s="2">
        <v>5362.5</v>
      </c>
      <c r="I129" s="1">
        <v>43374</v>
      </c>
      <c r="J129" t="s">
        <v>29</v>
      </c>
      <c r="K129">
        <v>2018</v>
      </c>
      <c r="L129" s="2"/>
    </row>
    <row r="130" spans="1:12" x14ac:dyDescent="0.3">
      <c r="A130" t="s">
        <v>14</v>
      </c>
      <c r="B130" t="s">
        <v>33</v>
      </c>
      <c r="C130" t="s">
        <v>7</v>
      </c>
      <c r="D130" s="2">
        <v>12660</v>
      </c>
      <c r="E130" s="2">
        <v>253.2</v>
      </c>
      <c r="F130" s="2">
        <v>12406.8</v>
      </c>
      <c r="G130" s="2">
        <v>3165</v>
      </c>
      <c r="H130" s="2">
        <v>9241.7999999999993</v>
      </c>
      <c r="I130" s="1">
        <v>43800</v>
      </c>
      <c r="J130" t="s">
        <v>24</v>
      </c>
      <c r="K130">
        <v>2019</v>
      </c>
      <c r="L130" s="2"/>
    </row>
    <row r="131" spans="1:12" x14ac:dyDescent="0.3">
      <c r="A131" t="s">
        <v>3</v>
      </c>
      <c r="B131" t="s">
        <v>32</v>
      </c>
      <c r="C131" t="s">
        <v>7</v>
      </c>
      <c r="D131" s="2">
        <v>10880</v>
      </c>
      <c r="E131" s="2">
        <v>217.6</v>
      </c>
      <c r="F131" s="2">
        <v>10662.4</v>
      </c>
      <c r="G131" s="2">
        <v>5440</v>
      </c>
      <c r="H131" s="2">
        <v>5222.3999999999996</v>
      </c>
      <c r="I131" s="1">
        <v>43435</v>
      </c>
      <c r="J131" t="s">
        <v>24</v>
      </c>
      <c r="K131">
        <v>2018</v>
      </c>
      <c r="L131" s="2"/>
    </row>
    <row r="132" spans="1:12" x14ac:dyDescent="0.3">
      <c r="A132" t="s">
        <v>14</v>
      </c>
      <c r="B132" t="s">
        <v>32</v>
      </c>
      <c r="C132" t="s">
        <v>7</v>
      </c>
      <c r="D132" s="2">
        <v>13008</v>
      </c>
      <c r="E132" s="2">
        <v>260.16000000000003</v>
      </c>
      <c r="F132" s="2">
        <v>12747.84</v>
      </c>
      <c r="G132" s="2">
        <v>3252</v>
      </c>
      <c r="H132" s="2">
        <v>9495.84</v>
      </c>
      <c r="I132" s="1">
        <v>43800</v>
      </c>
      <c r="J132" t="s">
        <v>24</v>
      </c>
      <c r="K132">
        <v>2019</v>
      </c>
      <c r="L132" s="2"/>
    </row>
    <row r="133" spans="1:12" x14ac:dyDescent="0.3">
      <c r="A133" t="s">
        <v>17</v>
      </c>
      <c r="B133" t="s">
        <v>32</v>
      </c>
      <c r="C133" t="s">
        <v>8</v>
      </c>
      <c r="D133" s="2">
        <v>82750</v>
      </c>
      <c r="E133" s="2">
        <v>1655</v>
      </c>
      <c r="F133" s="2">
        <v>81095</v>
      </c>
      <c r="G133" s="2">
        <v>79440</v>
      </c>
      <c r="H133" s="2">
        <v>1655</v>
      </c>
      <c r="I133" s="1">
        <v>43617</v>
      </c>
      <c r="J133" t="s">
        <v>23</v>
      </c>
      <c r="K133">
        <v>2019</v>
      </c>
      <c r="L133" s="2"/>
    </row>
    <row r="134" spans="1:12" x14ac:dyDescent="0.3">
      <c r="A134" t="s">
        <v>13</v>
      </c>
      <c r="B134" t="s">
        <v>11</v>
      </c>
      <c r="C134" t="s">
        <v>8</v>
      </c>
      <c r="D134" s="2">
        <v>64200</v>
      </c>
      <c r="E134" s="2">
        <v>1284</v>
      </c>
      <c r="F134" s="2">
        <v>62916</v>
      </c>
      <c r="G134" s="2">
        <v>53500</v>
      </c>
      <c r="H134" s="2">
        <v>9416</v>
      </c>
      <c r="I134" s="1">
        <v>43374</v>
      </c>
      <c r="J134" t="s">
        <v>29</v>
      </c>
      <c r="K134">
        <v>2018</v>
      </c>
      <c r="L134" s="2"/>
    </row>
    <row r="135" spans="1:12" x14ac:dyDescent="0.3">
      <c r="A135" t="s">
        <v>3</v>
      </c>
      <c r="B135" t="s">
        <v>11</v>
      </c>
      <c r="C135" t="s">
        <v>8</v>
      </c>
      <c r="D135" s="2">
        <v>1006950</v>
      </c>
      <c r="E135" s="2">
        <v>20139</v>
      </c>
      <c r="F135" s="2">
        <v>986811</v>
      </c>
      <c r="G135" s="2">
        <v>748020</v>
      </c>
      <c r="H135" s="2">
        <v>238791</v>
      </c>
      <c r="I135" s="1">
        <v>43739</v>
      </c>
      <c r="J135" t="s">
        <v>29</v>
      </c>
      <c r="K135">
        <v>2019</v>
      </c>
      <c r="L135" s="2"/>
    </row>
    <row r="136" spans="1:12" x14ac:dyDescent="0.3">
      <c r="A136" t="s">
        <v>17</v>
      </c>
      <c r="B136" t="s">
        <v>10</v>
      </c>
      <c r="C136" t="s">
        <v>8</v>
      </c>
      <c r="D136" s="2">
        <v>341125</v>
      </c>
      <c r="E136" s="2">
        <v>6822.5</v>
      </c>
      <c r="F136" s="2">
        <v>334302.5</v>
      </c>
      <c r="G136" s="2">
        <v>327480</v>
      </c>
      <c r="H136" s="2">
        <v>6822.5</v>
      </c>
      <c r="I136" s="1">
        <v>43800</v>
      </c>
      <c r="J136" t="s">
        <v>24</v>
      </c>
      <c r="K136">
        <v>2019</v>
      </c>
      <c r="L136" s="2"/>
    </row>
    <row r="137" spans="1:12" x14ac:dyDescent="0.3">
      <c r="A137" t="s">
        <v>3</v>
      </c>
      <c r="B137" t="s">
        <v>12</v>
      </c>
      <c r="C137" t="s">
        <v>8</v>
      </c>
      <c r="D137" s="2">
        <v>93100</v>
      </c>
      <c r="E137" s="2">
        <v>1862</v>
      </c>
      <c r="F137" s="2">
        <v>91238</v>
      </c>
      <c r="G137" s="2">
        <v>69160</v>
      </c>
      <c r="H137" s="2">
        <v>22078</v>
      </c>
      <c r="I137" s="1">
        <v>43435</v>
      </c>
      <c r="J137" t="s">
        <v>24</v>
      </c>
      <c r="K137">
        <v>2018</v>
      </c>
      <c r="L137" s="2"/>
    </row>
    <row r="138" spans="1:12" x14ac:dyDescent="0.3">
      <c r="A138" t="s">
        <v>3</v>
      </c>
      <c r="B138" t="s">
        <v>32</v>
      </c>
      <c r="C138" t="s">
        <v>8</v>
      </c>
      <c r="D138" s="2">
        <v>679000</v>
      </c>
      <c r="E138" s="2">
        <v>13580</v>
      </c>
      <c r="F138" s="2">
        <v>665420</v>
      </c>
      <c r="G138" s="2">
        <v>504400</v>
      </c>
      <c r="H138" s="2">
        <v>161020</v>
      </c>
      <c r="I138" s="1">
        <v>43435</v>
      </c>
      <c r="J138" t="s">
        <v>24</v>
      </c>
      <c r="K138">
        <v>2018</v>
      </c>
      <c r="L138" s="2"/>
    </row>
    <row r="139" spans="1:12" x14ac:dyDescent="0.3">
      <c r="A139" t="s">
        <v>13</v>
      </c>
      <c r="B139" t="s">
        <v>11</v>
      </c>
      <c r="C139" t="s">
        <v>9</v>
      </c>
      <c r="D139" s="2">
        <v>77700</v>
      </c>
      <c r="E139" s="2">
        <v>1554</v>
      </c>
      <c r="F139" s="2">
        <v>76146</v>
      </c>
      <c r="G139" s="2">
        <v>64750</v>
      </c>
      <c r="H139" s="2">
        <v>11396</v>
      </c>
      <c r="I139" s="1">
        <v>43525</v>
      </c>
      <c r="J139" t="s">
        <v>25</v>
      </c>
      <c r="K139">
        <v>2019</v>
      </c>
      <c r="L139" s="2"/>
    </row>
    <row r="140" spans="1:12" x14ac:dyDescent="0.3">
      <c r="A140" t="s">
        <v>13</v>
      </c>
      <c r="B140" t="s">
        <v>32</v>
      </c>
      <c r="C140" t="s">
        <v>9</v>
      </c>
      <c r="D140" s="2">
        <v>330300</v>
      </c>
      <c r="E140" s="2">
        <v>6606</v>
      </c>
      <c r="F140" s="2">
        <v>323694</v>
      </c>
      <c r="G140" s="2">
        <v>275250</v>
      </c>
      <c r="H140" s="2">
        <v>48444</v>
      </c>
      <c r="I140" s="1">
        <v>43525</v>
      </c>
      <c r="J140" t="s">
        <v>25</v>
      </c>
      <c r="K140">
        <v>2019</v>
      </c>
      <c r="L140" s="2"/>
    </row>
    <row r="141" spans="1:12" x14ac:dyDescent="0.3">
      <c r="A141" t="s">
        <v>17</v>
      </c>
      <c r="B141" t="s">
        <v>11</v>
      </c>
      <c r="C141" t="s">
        <v>9</v>
      </c>
      <c r="D141" s="2">
        <v>284500</v>
      </c>
      <c r="E141" s="2">
        <v>5690</v>
      </c>
      <c r="F141" s="2">
        <v>278810</v>
      </c>
      <c r="G141" s="2">
        <v>273120</v>
      </c>
      <c r="H141" s="2">
        <v>5690</v>
      </c>
      <c r="I141" s="1">
        <v>43586</v>
      </c>
      <c r="J141" t="s">
        <v>31</v>
      </c>
      <c r="K141">
        <v>2019</v>
      </c>
      <c r="L141" s="2"/>
    </row>
    <row r="142" spans="1:12" x14ac:dyDescent="0.3">
      <c r="A142" t="s">
        <v>3</v>
      </c>
      <c r="B142" t="s">
        <v>11</v>
      </c>
      <c r="C142" t="s">
        <v>9</v>
      </c>
      <c r="D142" s="2">
        <v>1038100</v>
      </c>
      <c r="E142" s="2">
        <v>20762</v>
      </c>
      <c r="F142" s="2">
        <v>1017338</v>
      </c>
      <c r="G142" s="2">
        <v>771160</v>
      </c>
      <c r="H142" s="2">
        <v>246178</v>
      </c>
      <c r="I142" s="1">
        <v>43374</v>
      </c>
      <c r="J142" t="s">
        <v>29</v>
      </c>
      <c r="K142">
        <v>2018</v>
      </c>
      <c r="L142" s="2"/>
    </row>
    <row r="143" spans="1:12" x14ac:dyDescent="0.3">
      <c r="A143" t="s">
        <v>3</v>
      </c>
      <c r="B143" t="s">
        <v>12</v>
      </c>
      <c r="C143" t="s">
        <v>9</v>
      </c>
      <c r="D143" s="2">
        <v>24720</v>
      </c>
      <c r="E143" s="2">
        <v>494.4</v>
      </c>
      <c r="F143" s="2">
        <v>24225.599999999999</v>
      </c>
      <c r="G143" s="2">
        <v>12360</v>
      </c>
      <c r="H143" s="2">
        <v>11865.599999999999</v>
      </c>
      <c r="I143" s="1">
        <v>43770</v>
      </c>
      <c r="J143" t="s">
        <v>30</v>
      </c>
      <c r="K143">
        <v>2019</v>
      </c>
      <c r="L143" s="2"/>
    </row>
    <row r="144" spans="1:12" x14ac:dyDescent="0.3">
      <c r="A144" t="s">
        <v>3</v>
      </c>
      <c r="B144" t="s">
        <v>33</v>
      </c>
      <c r="C144" t="s">
        <v>9</v>
      </c>
      <c r="D144" s="2">
        <v>18820</v>
      </c>
      <c r="E144" s="2">
        <v>376.4</v>
      </c>
      <c r="F144" s="2">
        <v>18443.599999999999</v>
      </c>
      <c r="G144" s="2">
        <v>9410</v>
      </c>
      <c r="H144" s="2">
        <v>9033.5999999999985</v>
      </c>
      <c r="I144" s="1">
        <v>43770</v>
      </c>
      <c r="J144" t="s">
        <v>30</v>
      </c>
      <c r="K144">
        <v>2019</v>
      </c>
      <c r="L144" s="2"/>
    </row>
    <row r="145" spans="1:12" x14ac:dyDescent="0.3">
      <c r="A145" t="s">
        <v>13</v>
      </c>
      <c r="B145" t="s">
        <v>10</v>
      </c>
      <c r="C145" t="s">
        <v>9</v>
      </c>
      <c r="D145" s="2">
        <v>574800</v>
      </c>
      <c r="E145" s="2">
        <v>11496</v>
      </c>
      <c r="F145" s="2">
        <v>563304</v>
      </c>
      <c r="G145" s="2">
        <v>479000</v>
      </c>
      <c r="H145" s="2">
        <v>84304</v>
      </c>
      <c r="I145" s="1">
        <v>43800</v>
      </c>
      <c r="J145" t="s">
        <v>24</v>
      </c>
      <c r="K145">
        <v>2019</v>
      </c>
      <c r="L145" s="2"/>
    </row>
    <row r="146" spans="1:12" x14ac:dyDescent="0.3">
      <c r="A146" t="s">
        <v>17</v>
      </c>
      <c r="B146" t="s">
        <v>33</v>
      </c>
      <c r="C146" t="s">
        <v>2</v>
      </c>
      <c r="D146" s="2">
        <v>530437.5</v>
      </c>
      <c r="E146" s="2">
        <v>15913.125</v>
      </c>
      <c r="F146" s="2">
        <v>514524.375</v>
      </c>
      <c r="G146" s="2">
        <v>560142</v>
      </c>
      <c r="H146" s="2">
        <v>-45617.625</v>
      </c>
      <c r="I146" s="1">
        <v>43556</v>
      </c>
      <c r="J146" t="s">
        <v>38</v>
      </c>
      <c r="K146">
        <v>2019</v>
      </c>
      <c r="L146" s="2"/>
    </row>
    <row r="147" spans="1:12" x14ac:dyDescent="0.3">
      <c r="A147" t="s">
        <v>3</v>
      </c>
      <c r="B147" t="s">
        <v>11</v>
      </c>
      <c r="C147" t="s">
        <v>2</v>
      </c>
      <c r="D147" s="2">
        <v>51600</v>
      </c>
      <c r="E147" s="2">
        <v>1548</v>
      </c>
      <c r="F147" s="2">
        <v>50052</v>
      </c>
      <c r="G147" s="2">
        <v>28380.000000000004</v>
      </c>
      <c r="H147" s="2">
        <v>21671.999999999996</v>
      </c>
      <c r="I147" s="1">
        <v>43556</v>
      </c>
      <c r="J147" t="s">
        <v>38</v>
      </c>
      <c r="K147">
        <v>2019</v>
      </c>
      <c r="L147" s="2"/>
    </row>
    <row r="148" spans="1:12" x14ac:dyDescent="0.3">
      <c r="A148" t="s">
        <v>13</v>
      </c>
      <c r="B148" t="s">
        <v>11</v>
      </c>
      <c r="C148" t="s">
        <v>2</v>
      </c>
      <c r="D148" s="2">
        <v>206700</v>
      </c>
      <c r="E148" s="2">
        <v>6201</v>
      </c>
      <c r="F148" s="2">
        <v>200499</v>
      </c>
      <c r="G148" s="2">
        <v>189475.00000000003</v>
      </c>
      <c r="H148" s="2">
        <v>11023.999999999971</v>
      </c>
      <c r="I148" s="1">
        <v>43617</v>
      </c>
      <c r="J148" t="s">
        <v>23</v>
      </c>
      <c r="K148">
        <v>2019</v>
      </c>
      <c r="L148" s="2"/>
    </row>
    <row r="149" spans="1:12" x14ac:dyDescent="0.3">
      <c r="A149" t="s">
        <v>14</v>
      </c>
      <c r="B149" t="s">
        <v>12</v>
      </c>
      <c r="C149" t="s">
        <v>2</v>
      </c>
      <c r="D149" s="2">
        <v>23364</v>
      </c>
      <c r="E149" s="2">
        <v>700.92</v>
      </c>
      <c r="F149" s="2">
        <v>22663.08</v>
      </c>
      <c r="G149" s="2">
        <v>6425.1</v>
      </c>
      <c r="H149" s="2">
        <v>16237.980000000001</v>
      </c>
      <c r="I149" s="1">
        <v>43709</v>
      </c>
      <c r="J149" t="s">
        <v>28</v>
      </c>
      <c r="K149">
        <v>2019</v>
      </c>
      <c r="L149" s="2"/>
    </row>
    <row r="150" spans="1:12" x14ac:dyDescent="0.3">
      <c r="A150" t="s">
        <v>14</v>
      </c>
      <c r="B150" t="s">
        <v>10</v>
      </c>
      <c r="C150" t="s">
        <v>2</v>
      </c>
      <c r="D150" s="2">
        <v>10896</v>
      </c>
      <c r="E150" s="2">
        <v>326.88</v>
      </c>
      <c r="F150" s="2">
        <v>10569.12</v>
      </c>
      <c r="G150" s="2">
        <v>2996.4</v>
      </c>
      <c r="H150" s="2">
        <v>7572.7200000000012</v>
      </c>
      <c r="I150" s="1">
        <v>43435</v>
      </c>
      <c r="J150" t="s">
        <v>24</v>
      </c>
      <c r="K150">
        <v>2018</v>
      </c>
      <c r="L150" s="2"/>
    </row>
    <row r="151" spans="1:12" x14ac:dyDescent="0.3">
      <c r="A151" t="s">
        <v>3</v>
      </c>
      <c r="B151" t="s">
        <v>11</v>
      </c>
      <c r="C151" t="s">
        <v>5</v>
      </c>
      <c r="D151" s="2">
        <v>13706</v>
      </c>
      <c r="E151" s="2">
        <v>411.18</v>
      </c>
      <c r="F151" s="2">
        <v>13294.82</v>
      </c>
      <c r="G151" s="2">
        <v>9790</v>
      </c>
      <c r="H151" s="2">
        <v>3504.8199999999997</v>
      </c>
      <c r="I151" s="1">
        <v>43497</v>
      </c>
      <c r="J151" t="s">
        <v>22</v>
      </c>
      <c r="K151">
        <v>2019</v>
      </c>
      <c r="L151" s="2"/>
    </row>
    <row r="152" spans="1:12" x14ac:dyDescent="0.3">
      <c r="A152" t="s">
        <v>14</v>
      </c>
      <c r="B152" t="s">
        <v>33</v>
      </c>
      <c r="C152" t="s">
        <v>5</v>
      </c>
      <c r="D152" s="2">
        <v>22812</v>
      </c>
      <c r="E152" s="2">
        <v>684.36</v>
      </c>
      <c r="F152" s="2">
        <v>22127.64</v>
      </c>
      <c r="G152" s="2">
        <v>5703</v>
      </c>
      <c r="H152" s="2">
        <v>16424.64</v>
      </c>
      <c r="I152" s="1">
        <v>43617</v>
      </c>
      <c r="J152" t="s">
        <v>23</v>
      </c>
      <c r="K152">
        <v>2019</v>
      </c>
      <c r="L152" s="2"/>
    </row>
    <row r="153" spans="1:12" x14ac:dyDescent="0.3">
      <c r="A153" t="s">
        <v>3</v>
      </c>
      <c r="B153" t="s">
        <v>33</v>
      </c>
      <c r="C153" t="s">
        <v>5</v>
      </c>
      <c r="D153" s="2">
        <v>3808</v>
      </c>
      <c r="E153" s="2">
        <v>114.24</v>
      </c>
      <c r="F153" s="2">
        <v>3693.76</v>
      </c>
      <c r="G153" s="2">
        <v>2720</v>
      </c>
      <c r="H153" s="2">
        <v>973.76000000000022</v>
      </c>
      <c r="I153" s="1">
        <v>43709</v>
      </c>
      <c r="J153" t="s">
        <v>28</v>
      </c>
      <c r="K153">
        <v>2019</v>
      </c>
      <c r="L153" s="2"/>
    </row>
    <row r="154" spans="1:12" x14ac:dyDescent="0.3">
      <c r="A154" t="s">
        <v>3</v>
      </c>
      <c r="B154" t="s">
        <v>11</v>
      </c>
      <c r="C154" t="s">
        <v>5</v>
      </c>
      <c r="D154" s="2">
        <v>628950</v>
      </c>
      <c r="E154" s="2">
        <v>18868.5</v>
      </c>
      <c r="F154" s="2">
        <v>610081.5</v>
      </c>
      <c r="G154" s="2">
        <v>467220</v>
      </c>
      <c r="H154" s="2">
        <v>142861.5</v>
      </c>
      <c r="I154" s="1">
        <v>43344</v>
      </c>
      <c r="J154" t="s">
        <v>28</v>
      </c>
      <c r="K154">
        <v>2018</v>
      </c>
      <c r="L154" s="2"/>
    </row>
    <row r="155" spans="1:12" x14ac:dyDescent="0.3">
      <c r="A155" t="s">
        <v>17</v>
      </c>
      <c r="B155" t="s">
        <v>33</v>
      </c>
      <c r="C155" t="s">
        <v>5</v>
      </c>
      <c r="D155" s="2">
        <v>160875</v>
      </c>
      <c r="E155" s="2">
        <v>4826.25</v>
      </c>
      <c r="F155" s="2">
        <v>156048.75</v>
      </c>
      <c r="G155" s="2">
        <v>154440</v>
      </c>
      <c r="H155" s="2">
        <v>1608.75</v>
      </c>
      <c r="I155" s="1">
        <v>43800</v>
      </c>
      <c r="J155" t="s">
        <v>24</v>
      </c>
      <c r="K155">
        <v>2019</v>
      </c>
      <c r="L155" s="2"/>
    </row>
    <row r="156" spans="1:12" x14ac:dyDescent="0.3">
      <c r="A156" t="s">
        <v>17</v>
      </c>
      <c r="B156" t="s">
        <v>11</v>
      </c>
      <c r="C156" t="s">
        <v>5</v>
      </c>
      <c r="D156" s="2">
        <v>213250</v>
      </c>
      <c r="E156" s="2">
        <v>6397.5</v>
      </c>
      <c r="F156" s="2">
        <v>206852.5</v>
      </c>
      <c r="G156" s="2">
        <v>204720</v>
      </c>
      <c r="H156" s="2">
        <v>2132.5</v>
      </c>
      <c r="I156" s="1">
        <v>43800</v>
      </c>
      <c r="J156" t="s">
        <v>24</v>
      </c>
      <c r="K156">
        <v>2019</v>
      </c>
      <c r="L156" s="2"/>
    </row>
    <row r="157" spans="1:12" x14ac:dyDescent="0.3">
      <c r="A157" t="s">
        <v>13</v>
      </c>
      <c r="B157" t="s">
        <v>33</v>
      </c>
      <c r="C157" t="s">
        <v>6</v>
      </c>
      <c r="D157" s="2">
        <v>730350</v>
      </c>
      <c r="E157" s="2">
        <v>21910.5</v>
      </c>
      <c r="F157" s="2">
        <v>708439.5</v>
      </c>
      <c r="G157" s="2">
        <v>608625</v>
      </c>
      <c r="H157" s="2">
        <v>99814.5</v>
      </c>
      <c r="I157" s="1">
        <v>43466</v>
      </c>
      <c r="J157" t="s">
        <v>21</v>
      </c>
      <c r="K157">
        <v>2019</v>
      </c>
      <c r="L157" s="2"/>
    </row>
    <row r="158" spans="1:12" x14ac:dyDescent="0.3">
      <c r="A158" t="s">
        <v>17</v>
      </c>
      <c r="B158" t="s">
        <v>10</v>
      </c>
      <c r="C158" t="s">
        <v>6</v>
      </c>
      <c r="D158" s="2">
        <v>221750</v>
      </c>
      <c r="E158" s="2">
        <v>6652.5</v>
      </c>
      <c r="F158" s="2">
        <v>215097.5</v>
      </c>
      <c r="G158" s="2">
        <v>212880</v>
      </c>
      <c r="H158" s="2">
        <v>2217.5</v>
      </c>
      <c r="I158" s="1">
        <v>43525</v>
      </c>
      <c r="J158" t="s">
        <v>25</v>
      </c>
      <c r="K158">
        <v>2019</v>
      </c>
      <c r="L158" s="2"/>
    </row>
    <row r="159" spans="1:12" x14ac:dyDescent="0.3">
      <c r="A159" t="s">
        <v>14</v>
      </c>
      <c r="B159" t="s">
        <v>33</v>
      </c>
      <c r="C159" t="s">
        <v>6</v>
      </c>
      <c r="D159" s="2">
        <v>22812</v>
      </c>
      <c r="E159" s="2">
        <v>684.36</v>
      </c>
      <c r="F159" s="2">
        <v>22127.64</v>
      </c>
      <c r="G159" s="2">
        <v>5703</v>
      </c>
      <c r="H159" s="2">
        <v>16424.64</v>
      </c>
      <c r="I159" s="1">
        <v>43617</v>
      </c>
      <c r="J159" t="s">
        <v>23</v>
      </c>
      <c r="K159">
        <v>2019</v>
      </c>
      <c r="L159" s="2"/>
    </row>
    <row r="160" spans="1:12" x14ac:dyDescent="0.3">
      <c r="A160" t="s">
        <v>13</v>
      </c>
      <c r="B160" t="s">
        <v>11</v>
      </c>
      <c r="C160" t="s">
        <v>6</v>
      </c>
      <c r="D160" s="2">
        <v>206700</v>
      </c>
      <c r="E160" s="2">
        <v>6201</v>
      </c>
      <c r="F160" s="2">
        <v>200499</v>
      </c>
      <c r="G160" s="2">
        <v>172250</v>
      </c>
      <c r="H160" s="2">
        <v>28249</v>
      </c>
      <c r="I160" s="1">
        <v>43617</v>
      </c>
      <c r="J160" t="s">
        <v>23</v>
      </c>
      <c r="K160">
        <v>2019</v>
      </c>
      <c r="L160" s="2"/>
    </row>
    <row r="161" spans="1:12" x14ac:dyDescent="0.3">
      <c r="A161" t="s">
        <v>17</v>
      </c>
      <c r="B161" t="s">
        <v>11</v>
      </c>
      <c r="C161" t="s">
        <v>6</v>
      </c>
      <c r="D161" s="2">
        <v>196250</v>
      </c>
      <c r="E161" s="2">
        <v>5887.5</v>
      </c>
      <c r="F161" s="2">
        <v>190362.5</v>
      </c>
      <c r="G161" s="2">
        <v>188400</v>
      </c>
      <c r="H161" s="2">
        <v>1962.5</v>
      </c>
      <c r="I161" s="1">
        <v>43617</v>
      </c>
      <c r="J161" t="s">
        <v>23</v>
      </c>
      <c r="K161">
        <v>2019</v>
      </c>
      <c r="L161" s="2"/>
    </row>
    <row r="162" spans="1:12" x14ac:dyDescent="0.3">
      <c r="A162" t="s">
        <v>14</v>
      </c>
      <c r="B162" t="s">
        <v>12</v>
      </c>
      <c r="C162" t="s">
        <v>6</v>
      </c>
      <c r="D162" s="2">
        <v>16434</v>
      </c>
      <c r="E162" s="2">
        <v>493.02</v>
      </c>
      <c r="F162" s="2">
        <v>15940.98</v>
      </c>
      <c r="G162" s="2">
        <v>4108.5</v>
      </c>
      <c r="H162" s="2">
        <v>11832.48</v>
      </c>
      <c r="I162" s="1">
        <v>43647</v>
      </c>
      <c r="J162" t="s">
        <v>26</v>
      </c>
      <c r="K162">
        <v>2019</v>
      </c>
      <c r="L162" s="2"/>
    </row>
    <row r="163" spans="1:12" x14ac:dyDescent="0.3">
      <c r="A163" t="s">
        <v>17</v>
      </c>
      <c r="B163" t="s">
        <v>10</v>
      </c>
      <c r="C163" t="s">
        <v>6</v>
      </c>
      <c r="D163" s="2">
        <v>251125</v>
      </c>
      <c r="E163" s="2">
        <v>7533.75</v>
      </c>
      <c r="F163" s="2">
        <v>243591.25</v>
      </c>
      <c r="G163" s="2">
        <v>241080</v>
      </c>
      <c r="H163" s="2">
        <v>2511.25</v>
      </c>
      <c r="I163" s="1">
        <v>43739</v>
      </c>
      <c r="J163" t="s">
        <v>29</v>
      </c>
      <c r="K163">
        <v>2019</v>
      </c>
      <c r="L163" s="2"/>
    </row>
    <row r="164" spans="1:12" x14ac:dyDescent="0.3">
      <c r="A164" t="s">
        <v>16</v>
      </c>
      <c r="B164" t="s">
        <v>11</v>
      </c>
      <c r="C164" t="s">
        <v>6</v>
      </c>
      <c r="D164" s="2">
        <v>29175</v>
      </c>
      <c r="E164" s="2">
        <v>875.25</v>
      </c>
      <c r="F164" s="2">
        <v>28299.75</v>
      </c>
      <c r="G164" s="2">
        <v>19450</v>
      </c>
      <c r="H164" s="2">
        <v>8849.75</v>
      </c>
      <c r="I164" s="1">
        <v>43374</v>
      </c>
      <c r="J164" t="s">
        <v>29</v>
      </c>
      <c r="K164">
        <v>2018</v>
      </c>
      <c r="L164" s="2"/>
    </row>
    <row r="165" spans="1:12" x14ac:dyDescent="0.3">
      <c r="A165" t="s">
        <v>17</v>
      </c>
      <c r="B165" t="s">
        <v>33</v>
      </c>
      <c r="C165" t="s">
        <v>6</v>
      </c>
      <c r="D165" s="2">
        <v>160875</v>
      </c>
      <c r="E165" s="2">
        <v>4826.25</v>
      </c>
      <c r="F165" s="2">
        <v>156048.75</v>
      </c>
      <c r="G165" s="2">
        <v>154440</v>
      </c>
      <c r="H165" s="2">
        <v>1608.75</v>
      </c>
      <c r="I165" s="1">
        <v>43800</v>
      </c>
      <c r="J165" t="s">
        <v>24</v>
      </c>
      <c r="K165">
        <v>2019</v>
      </c>
      <c r="L165" s="2"/>
    </row>
    <row r="166" spans="1:12" x14ac:dyDescent="0.3">
      <c r="A166" t="s">
        <v>17</v>
      </c>
      <c r="B166" t="s">
        <v>11</v>
      </c>
      <c r="C166" t="s">
        <v>6</v>
      </c>
      <c r="D166" s="2">
        <v>213250</v>
      </c>
      <c r="E166" s="2">
        <v>6397.5</v>
      </c>
      <c r="F166" s="2">
        <v>206852.5</v>
      </c>
      <c r="G166" s="2">
        <v>204720</v>
      </c>
      <c r="H166" s="2">
        <v>2132.5</v>
      </c>
      <c r="I166" s="1">
        <v>43800</v>
      </c>
      <c r="J166" t="s">
        <v>24</v>
      </c>
      <c r="K166">
        <v>2019</v>
      </c>
      <c r="L166" s="2"/>
    </row>
    <row r="167" spans="1:12" x14ac:dyDescent="0.3">
      <c r="A167" t="s">
        <v>17</v>
      </c>
      <c r="B167" t="s">
        <v>10</v>
      </c>
      <c r="C167" t="s">
        <v>7</v>
      </c>
      <c r="D167" s="2">
        <v>251125</v>
      </c>
      <c r="E167" s="2">
        <v>7533.75</v>
      </c>
      <c r="F167" s="2">
        <v>243591.25</v>
      </c>
      <c r="G167" s="2">
        <v>241080</v>
      </c>
      <c r="H167" s="2">
        <v>2511.25</v>
      </c>
      <c r="I167" s="1">
        <v>43739</v>
      </c>
      <c r="J167" t="s">
        <v>29</v>
      </c>
      <c r="K167">
        <v>2019</v>
      </c>
      <c r="L167" s="2"/>
    </row>
    <row r="168" spans="1:12" x14ac:dyDescent="0.3">
      <c r="A168" t="s">
        <v>13</v>
      </c>
      <c r="B168" t="s">
        <v>12</v>
      </c>
      <c r="C168" t="s">
        <v>8</v>
      </c>
      <c r="D168" s="2">
        <v>853200</v>
      </c>
      <c r="E168" s="2">
        <v>25596</v>
      </c>
      <c r="F168" s="2">
        <v>827604</v>
      </c>
      <c r="G168" s="2">
        <v>711000</v>
      </c>
      <c r="H168" s="2">
        <v>116604</v>
      </c>
      <c r="I168" s="1">
        <v>43497</v>
      </c>
      <c r="J168" t="s">
        <v>22</v>
      </c>
      <c r="K168">
        <v>2019</v>
      </c>
      <c r="L168" s="2"/>
    </row>
    <row r="169" spans="1:12" x14ac:dyDescent="0.3">
      <c r="A169" t="s">
        <v>14</v>
      </c>
      <c r="B169" t="s">
        <v>32</v>
      </c>
      <c r="C169" t="s">
        <v>8</v>
      </c>
      <c r="D169" s="2">
        <v>22992</v>
      </c>
      <c r="E169" s="2">
        <v>689.76</v>
      </c>
      <c r="F169" s="2">
        <v>22302.240000000002</v>
      </c>
      <c r="G169" s="2">
        <v>5748</v>
      </c>
      <c r="H169" s="2">
        <v>16554.240000000002</v>
      </c>
      <c r="I169" s="1">
        <v>43556</v>
      </c>
      <c r="J169" t="s">
        <v>38</v>
      </c>
      <c r="K169">
        <v>2019</v>
      </c>
      <c r="L169" s="2"/>
    </row>
    <row r="170" spans="1:12" x14ac:dyDescent="0.3">
      <c r="A170" t="s">
        <v>17</v>
      </c>
      <c r="B170" t="s">
        <v>11</v>
      </c>
      <c r="C170" t="s">
        <v>8</v>
      </c>
      <c r="D170" s="2">
        <v>196250</v>
      </c>
      <c r="E170" s="2">
        <v>5887.5</v>
      </c>
      <c r="F170" s="2">
        <v>190362.5</v>
      </c>
      <c r="G170" s="2">
        <v>188400</v>
      </c>
      <c r="H170" s="2">
        <v>1962.5</v>
      </c>
      <c r="I170" s="1">
        <v>43617</v>
      </c>
      <c r="J170" t="s">
        <v>23</v>
      </c>
      <c r="K170">
        <v>2019</v>
      </c>
      <c r="L170" s="2"/>
    </row>
    <row r="171" spans="1:12" x14ac:dyDescent="0.3">
      <c r="A171" t="s">
        <v>13</v>
      </c>
      <c r="B171" t="s">
        <v>10</v>
      </c>
      <c r="C171" t="s">
        <v>8</v>
      </c>
      <c r="D171" s="2">
        <v>562200</v>
      </c>
      <c r="E171" s="2">
        <v>16866</v>
      </c>
      <c r="F171" s="2">
        <v>545334</v>
      </c>
      <c r="G171" s="2">
        <v>468500</v>
      </c>
      <c r="H171" s="2">
        <v>76834</v>
      </c>
      <c r="I171" s="1">
        <v>43678</v>
      </c>
      <c r="J171" t="s">
        <v>27</v>
      </c>
      <c r="K171">
        <v>2019</v>
      </c>
      <c r="L171" s="2"/>
    </row>
    <row r="172" spans="1:12" x14ac:dyDescent="0.3">
      <c r="A172" t="s">
        <v>3</v>
      </c>
      <c r="B172" t="s">
        <v>32</v>
      </c>
      <c r="C172" t="s">
        <v>8</v>
      </c>
      <c r="D172" s="2">
        <v>574700</v>
      </c>
      <c r="E172" s="2">
        <v>17241</v>
      </c>
      <c r="F172" s="2">
        <v>557459</v>
      </c>
      <c r="G172" s="2">
        <v>426920</v>
      </c>
      <c r="H172" s="2">
        <v>130539</v>
      </c>
      <c r="I172" s="1">
        <v>43678</v>
      </c>
      <c r="J172" t="s">
        <v>27</v>
      </c>
      <c r="K172">
        <v>2019</v>
      </c>
      <c r="L172" s="2"/>
    </row>
    <row r="173" spans="1:12" x14ac:dyDescent="0.3">
      <c r="A173" t="s">
        <v>16</v>
      </c>
      <c r="B173" t="s">
        <v>11</v>
      </c>
      <c r="C173" t="s">
        <v>8</v>
      </c>
      <c r="D173" s="2">
        <v>29175</v>
      </c>
      <c r="E173" s="2">
        <v>875.25</v>
      </c>
      <c r="F173" s="2">
        <v>28299.75</v>
      </c>
      <c r="G173" s="2">
        <v>19450</v>
      </c>
      <c r="H173" s="2">
        <v>8849.75</v>
      </c>
      <c r="I173" s="1">
        <v>43374</v>
      </c>
      <c r="J173" t="s">
        <v>29</v>
      </c>
      <c r="K173">
        <v>2018</v>
      </c>
      <c r="L173" s="2"/>
    </row>
    <row r="174" spans="1:12" x14ac:dyDescent="0.3">
      <c r="A174" t="s">
        <v>3</v>
      </c>
      <c r="B174" t="s">
        <v>10</v>
      </c>
      <c r="C174" t="s">
        <v>2</v>
      </c>
      <c r="D174" s="2">
        <v>16620</v>
      </c>
      <c r="E174" s="2">
        <v>498.6</v>
      </c>
      <c r="F174" s="2">
        <v>16121.4</v>
      </c>
      <c r="G174" s="2">
        <v>9141</v>
      </c>
      <c r="H174" s="2">
        <v>6980.4</v>
      </c>
      <c r="I174" s="1">
        <v>43586</v>
      </c>
      <c r="J174" t="s">
        <v>31</v>
      </c>
      <c r="K174">
        <v>2019</v>
      </c>
      <c r="L174" s="2"/>
    </row>
    <row r="175" spans="1:12" x14ac:dyDescent="0.3">
      <c r="A175" t="s">
        <v>3</v>
      </c>
      <c r="B175" t="s">
        <v>32</v>
      </c>
      <c r="C175" t="s">
        <v>6</v>
      </c>
      <c r="D175" s="2">
        <v>12320</v>
      </c>
      <c r="E175" s="2">
        <v>369.6</v>
      </c>
      <c r="F175" s="2">
        <v>11950.4</v>
      </c>
      <c r="G175" s="2">
        <v>8800</v>
      </c>
      <c r="H175" s="2">
        <v>3150.3999999999996</v>
      </c>
      <c r="I175" s="1">
        <v>43344</v>
      </c>
      <c r="J175" t="s">
        <v>28</v>
      </c>
      <c r="K175">
        <v>2018</v>
      </c>
      <c r="L175" s="2"/>
    </row>
    <row r="176" spans="1:12" x14ac:dyDescent="0.3">
      <c r="A176" t="s">
        <v>3</v>
      </c>
      <c r="B176" t="s">
        <v>10</v>
      </c>
      <c r="C176" t="s">
        <v>7</v>
      </c>
      <c r="D176" s="2">
        <v>77010</v>
      </c>
      <c r="E176" s="2">
        <v>2310.3000000000002</v>
      </c>
      <c r="F176" s="2">
        <v>74699.700000000012</v>
      </c>
      <c r="G176" s="2">
        <v>38505</v>
      </c>
      <c r="H176" s="2">
        <v>36194.700000000012</v>
      </c>
      <c r="I176" s="1">
        <v>43556</v>
      </c>
      <c r="J176" t="s">
        <v>38</v>
      </c>
      <c r="K176">
        <v>2019</v>
      </c>
      <c r="L176" s="2"/>
    </row>
    <row r="177" spans="1:12" x14ac:dyDescent="0.3">
      <c r="A177" t="s">
        <v>14</v>
      </c>
      <c r="B177" t="s">
        <v>11</v>
      </c>
      <c r="C177" t="s">
        <v>8</v>
      </c>
      <c r="D177" s="2">
        <v>29748</v>
      </c>
      <c r="E177" s="2">
        <v>892.44</v>
      </c>
      <c r="F177" s="2">
        <v>28855.56</v>
      </c>
      <c r="G177" s="2">
        <v>7437</v>
      </c>
      <c r="H177" s="2">
        <v>21418.560000000001</v>
      </c>
      <c r="I177" s="1">
        <v>43466</v>
      </c>
      <c r="J177" t="s">
        <v>21</v>
      </c>
      <c r="K177">
        <v>2019</v>
      </c>
      <c r="L177" s="2"/>
    </row>
    <row r="178" spans="1:12" x14ac:dyDescent="0.3">
      <c r="A178" t="s">
        <v>16</v>
      </c>
      <c r="B178" t="s">
        <v>32</v>
      </c>
      <c r="C178" t="s">
        <v>5</v>
      </c>
      <c r="D178" s="2">
        <v>30465</v>
      </c>
      <c r="E178" s="2">
        <v>1218.5999999999999</v>
      </c>
      <c r="F178" s="2">
        <v>29246.400000000001</v>
      </c>
      <c r="G178" s="2">
        <v>20310</v>
      </c>
      <c r="H178" s="2">
        <v>8936.4000000000015</v>
      </c>
      <c r="I178" s="1">
        <v>43739</v>
      </c>
      <c r="J178" t="s">
        <v>29</v>
      </c>
      <c r="K178">
        <v>2019</v>
      </c>
      <c r="L178" s="2"/>
    </row>
    <row r="179" spans="1:12" x14ac:dyDescent="0.3">
      <c r="A179" t="s">
        <v>16</v>
      </c>
      <c r="B179" t="s">
        <v>32</v>
      </c>
      <c r="C179" t="s">
        <v>6</v>
      </c>
      <c r="D179" s="2">
        <v>30465</v>
      </c>
      <c r="E179" s="2">
        <v>1218.5999999999999</v>
      </c>
      <c r="F179" s="2">
        <v>29246.400000000001</v>
      </c>
      <c r="G179" s="2">
        <v>20310</v>
      </c>
      <c r="H179" s="2">
        <v>8936.4000000000015</v>
      </c>
      <c r="I179" s="1">
        <v>43739</v>
      </c>
      <c r="J179" t="s">
        <v>29</v>
      </c>
      <c r="K179">
        <v>2019</v>
      </c>
      <c r="L179" s="2"/>
    </row>
    <row r="180" spans="1:12" x14ac:dyDescent="0.3">
      <c r="A180" t="s">
        <v>16</v>
      </c>
      <c r="B180" t="s">
        <v>33</v>
      </c>
      <c r="C180" t="s">
        <v>6</v>
      </c>
      <c r="D180" s="2">
        <v>33915</v>
      </c>
      <c r="E180" s="2">
        <v>1356.6</v>
      </c>
      <c r="F180" s="2">
        <v>32558.400000000001</v>
      </c>
      <c r="G180" s="2">
        <v>22610</v>
      </c>
      <c r="H180" s="2">
        <v>9948.4000000000015</v>
      </c>
      <c r="I180" s="1">
        <v>43435</v>
      </c>
      <c r="J180" t="s">
        <v>24</v>
      </c>
      <c r="K180">
        <v>2018</v>
      </c>
      <c r="L180" s="2"/>
    </row>
    <row r="181" spans="1:12" x14ac:dyDescent="0.3">
      <c r="A181" t="s">
        <v>3</v>
      </c>
      <c r="B181" t="s">
        <v>12</v>
      </c>
      <c r="C181" t="s">
        <v>7</v>
      </c>
      <c r="D181" s="2">
        <v>14720</v>
      </c>
      <c r="E181" s="2">
        <v>588.79999999999995</v>
      </c>
      <c r="F181" s="2">
        <v>14131.2</v>
      </c>
      <c r="G181" s="2">
        <v>7360</v>
      </c>
      <c r="H181" s="2">
        <v>6771.2000000000007</v>
      </c>
      <c r="I181" s="1">
        <v>43344</v>
      </c>
      <c r="J181" t="s">
        <v>28</v>
      </c>
      <c r="K181">
        <v>2018</v>
      </c>
      <c r="L181" s="2"/>
    </row>
    <row r="182" spans="1:12" x14ac:dyDescent="0.3">
      <c r="A182" t="s">
        <v>3</v>
      </c>
      <c r="B182" t="s">
        <v>10</v>
      </c>
      <c r="C182" t="s">
        <v>2</v>
      </c>
      <c r="D182" s="2">
        <v>19957</v>
      </c>
      <c r="E182" s="2">
        <v>798.28</v>
      </c>
      <c r="F182" s="2">
        <v>19158.72</v>
      </c>
      <c r="G182" s="2">
        <v>15680.500000000002</v>
      </c>
      <c r="H182" s="2">
        <v>3478.2199999999993</v>
      </c>
      <c r="I182" s="1">
        <v>43374</v>
      </c>
      <c r="J182" t="s">
        <v>29</v>
      </c>
      <c r="K182">
        <v>2018</v>
      </c>
      <c r="L182" s="2"/>
    </row>
    <row r="183" spans="1:12" x14ac:dyDescent="0.3">
      <c r="A183" t="s">
        <v>13</v>
      </c>
      <c r="B183" t="s">
        <v>11</v>
      </c>
      <c r="C183" t="s">
        <v>2</v>
      </c>
      <c r="D183" s="2">
        <v>606300</v>
      </c>
      <c r="E183" s="2">
        <v>24252</v>
      </c>
      <c r="F183" s="2">
        <v>582048</v>
      </c>
      <c r="G183" s="2">
        <v>555775</v>
      </c>
      <c r="H183" s="2">
        <v>26273</v>
      </c>
      <c r="I183" s="1">
        <v>43739</v>
      </c>
      <c r="J183" t="s">
        <v>29</v>
      </c>
      <c r="K183">
        <v>2019</v>
      </c>
      <c r="L183" s="2"/>
    </row>
    <row r="184" spans="1:12" x14ac:dyDescent="0.3">
      <c r="A184" t="s">
        <v>3</v>
      </c>
      <c r="B184" t="s">
        <v>12</v>
      </c>
      <c r="C184" t="s">
        <v>2</v>
      </c>
      <c r="D184" s="2">
        <v>95900</v>
      </c>
      <c r="E184" s="2">
        <v>3836</v>
      </c>
      <c r="F184" s="2">
        <v>92064</v>
      </c>
      <c r="G184" s="2">
        <v>78364</v>
      </c>
      <c r="H184" s="2">
        <v>13700</v>
      </c>
      <c r="I184" s="1">
        <v>43800</v>
      </c>
      <c r="J184" t="s">
        <v>24</v>
      </c>
      <c r="K184">
        <v>2019</v>
      </c>
      <c r="L184" s="2"/>
    </row>
    <row r="185" spans="1:12" x14ac:dyDescent="0.3">
      <c r="A185" t="s">
        <v>16</v>
      </c>
      <c r="B185" t="s">
        <v>10</v>
      </c>
      <c r="C185" t="s">
        <v>5</v>
      </c>
      <c r="D185" s="2">
        <v>29505</v>
      </c>
      <c r="E185" s="2">
        <v>1180.2</v>
      </c>
      <c r="F185" s="2">
        <v>28324.799999999999</v>
      </c>
      <c r="G185" s="2">
        <v>19670</v>
      </c>
      <c r="H185" s="2">
        <v>8654.7999999999993</v>
      </c>
      <c r="I185" s="1">
        <v>43525</v>
      </c>
      <c r="J185" t="s">
        <v>25</v>
      </c>
      <c r="K185">
        <v>2019</v>
      </c>
      <c r="L185" s="2"/>
    </row>
    <row r="186" spans="1:12" x14ac:dyDescent="0.3">
      <c r="A186" t="s">
        <v>13</v>
      </c>
      <c r="B186" t="s">
        <v>11</v>
      </c>
      <c r="C186" t="s">
        <v>5</v>
      </c>
      <c r="D186" s="2">
        <v>557700</v>
      </c>
      <c r="E186" s="2">
        <v>22308</v>
      </c>
      <c r="F186" s="2">
        <v>535392</v>
      </c>
      <c r="G186" s="2">
        <v>464750</v>
      </c>
      <c r="H186" s="2">
        <v>70642</v>
      </c>
      <c r="I186" s="1">
        <v>43678</v>
      </c>
      <c r="J186" t="s">
        <v>27</v>
      </c>
      <c r="K186">
        <v>2019</v>
      </c>
      <c r="L186" s="2"/>
    </row>
    <row r="187" spans="1:12" x14ac:dyDescent="0.3">
      <c r="A187" t="s">
        <v>3</v>
      </c>
      <c r="B187" t="s">
        <v>10</v>
      </c>
      <c r="C187" t="s">
        <v>5</v>
      </c>
      <c r="D187" s="2">
        <v>19957</v>
      </c>
      <c r="E187" s="2">
        <v>798.28</v>
      </c>
      <c r="F187" s="2">
        <v>19158.72</v>
      </c>
      <c r="G187" s="2">
        <v>14255</v>
      </c>
      <c r="H187" s="2">
        <v>4903.7200000000012</v>
      </c>
      <c r="I187" s="1">
        <v>43374</v>
      </c>
      <c r="J187" t="s">
        <v>29</v>
      </c>
      <c r="K187">
        <v>2018</v>
      </c>
      <c r="L187" s="2"/>
    </row>
    <row r="188" spans="1:12" x14ac:dyDescent="0.3">
      <c r="A188" t="s">
        <v>13</v>
      </c>
      <c r="B188" t="s">
        <v>11</v>
      </c>
      <c r="C188" t="s">
        <v>5</v>
      </c>
      <c r="D188" s="2">
        <v>606300</v>
      </c>
      <c r="E188" s="2">
        <v>24252</v>
      </c>
      <c r="F188" s="2">
        <v>582048</v>
      </c>
      <c r="G188" s="2">
        <v>505250</v>
      </c>
      <c r="H188" s="2">
        <v>76798</v>
      </c>
      <c r="I188" s="1">
        <v>43739</v>
      </c>
      <c r="J188" t="s">
        <v>29</v>
      </c>
      <c r="K188">
        <v>2019</v>
      </c>
      <c r="L188" s="2"/>
    </row>
    <row r="189" spans="1:12" x14ac:dyDescent="0.3">
      <c r="A189" t="s">
        <v>17</v>
      </c>
      <c r="B189" t="s">
        <v>32</v>
      </c>
      <c r="C189" t="s">
        <v>5</v>
      </c>
      <c r="D189" s="2">
        <v>142250</v>
      </c>
      <c r="E189" s="2">
        <v>5690</v>
      </c>
      <c r="F189" s="2">
        <v>136560</v>
      </c>
      <c r="G189" s="2">
        <v>136560</v>
      </c>
      <c r="H189" s="2">
        <v>0</v>
      </c>
      <c r="I189" s="1">
        <v>43800</v>
      </c>
      <c r="J189" t="s">
        <v>24</v>
      </c>
      <c r="K189">
        <v>2019</v>
      </c>
      <c r="L189" s="2"/>
    </row>
    <row r="190" spans="1:12" x14ac:dyDescent="0.3">
      <c r="A190" t="s">
        <v>3</v>
      </c>
      <c r="B190" t="s">
        <v>10</v>
      </c>
      <c r="C190" t="s">
        <v>6</v>
      </c>
      <c r="D190" s="2">
        <v>29757</v>
      </c>
      <c r="E190" s="2">
        <v>1190.28</v>
      </c>
      <c r="F190" s="2">
        <v>28566.720000000001</v>
      </c>
      <c r="G190" s="2">
        <v>21255</v>
      </c>
      <c r="H190" s="2">
        <v>7311.7200000000012</v>
      </c>
      <c r="I190" s="1">
        <v>43466</v>
      </c>
      <c r="J190" t="s">
        <v>21</v>
      </c>
      <c r="K190">
        <v>2019</v>
      </c>
      <c r="L190" s="2"/>
    </row>
    <row r="191" spans="1:12" x14ac:dyDescent="0.3">
      <c r="A191" t="s">
        <v>17</v>
      </c>
      <c r="B191" t="s">
        <v>11</v>
      </c>
      <c r="C191" t="s">
        <v>6</v>
      </c>
      <c r="D191" s="2">
        <v>99375</v>
      </c>
      <c r="E191" s="2">
        <v>3975</v>
      </c>
      <c r="F191" s="2">
        <v>95400</v>
      </c>
      <c r="G191" s="2">
        <v>95400</v>
      </c>
      <c r="H191" s="2">
        <v>0</v>
      </c>
      <c r="I191" s="1">
        <v>43525</v>
      </c>
      <c r="J191" t="s">
        <v>25</v>
      </c>
      <c r="K191">
        <v>2019</v>
      </c>
      <c r="L191" s="2"/>
    </row>
    <row r="192" spans="1:12" x14ac:dyDescent="0.3">
      <c r="A192" t="s">
        <v>13</v>
      </c>
      <c r="B192" t="s">
        <v>11</v>
      </c>
      <c r="C192" t="s">
        <v>6</v>
      </c>
      <c r="D192" s="2">
        <v>424350</v>
      </c>
      <c r="E192" s="2">
        <v>16974</v>
      </c>
      <c r="F192" s="2">
        <v>407376</v>
      </c>
      <c r="G192" s="2">
        <v>353625</v>
      </c>
      <c r="H192" s="2">
        <v>53751</v>
      </c>
      <c r="I192" s="1">
        <v>43556</v>
      </c>
      <c r="J192" t="s">
        <v>38</v>
      </c>
      <c r="K192">
        <v>2019</v>
      </c>
      <c r="L192" s="2"/>
    </row>
    <row r="193" spans="1:12" x14ac:dyDescent="0.3">
      <c r="A193" t="s">
        <v>13</v>
      </c>
      <c r="B193" t="s">
        <v>12</v>
      </c>
      <c r="C193" t="s">
        <v>6</v>
      </c>
      <c r="D193" s="2">
        <v>875400</v>
      </c>
      <c r="E193" s="2">
        <v>35016</v>
      </c>
      <c r="F193" s="2">
        <v>840384</v>
      </c>
      <c r="G193" s="2">
        <v>729500</v>
      </c>
      <c r="H193" s="2">
        <v>110884</v>
      </c>
      <c r="I193" s="1">
        <v>43586</v>
      </c>
      <c r="J193" t="s">
        <v>31</v>
      </c>
      <c r="K193">
        <v>2019</v>
      </c>
      <c r="L193" s="2"/>
    </row>
    <row r="194" spans="1:12" x14ac:dyDescent="0.3">
      <c r="A194" t="s">
        <v>3</v>
      </c>
      <c r="B194" t="s">
        <v>12</v>
      </c>
      <c r="C194" t="s">
        <v>6</v>
      </c>
      <c r="D194" s="2">
        <v>1207500</v>
      </c>
      <c r="E194" s="2">
        <v>48300</v>
      </c>
      <c r="F194" s="2">
        <v>1159200</v>
      </c>
      <c r="G194" s="2">
        <v>897000</v>
      </c>
      <c r="H194" s="2">
        <v>262200</v>
      </c>
      <c r="I194" s="1">
        <v>43647</v>
      </c>
      <c r="J194" t="s">
        <v>26</v>
      </c>
      <c r="K194">
        <v>2019</v>
      </c>
      <c r="L194" s="2"/>
    </row>
    <row r="195" spans="1:12" x14ac:dyDescent="0.3">
      <c r="A195" t="s">
        <v>17</v>
      </c>
      <c r="B195" t="s">
        <v>33</v>
      </c>
      <c r="C195" t="s">
        <v>6</v>
      </c>
      <c r="D195" s="2">
        <v>373500</v>
      </c>
      <c r="E195" s="2">
        <v>14940</v>
      </c>
      <c r="F195" s="2">
        <v>358560</v>
      </c>
      <c r="G195" s="2">
        <v>358560</v>
      </c>
      <c r="H195" s="2">
        <v>0</v>
      </c>
      <c r="I195" s="1">
        <v>43647</v>
      </c>
      <c r="J195" t="s">
        <v>26</v>
      </c>
      <c r="K195">
        <v>2019</v>
      </c>
      <c r="L195" s="2"/>
    </row>
    <row r="196" spans="1:12" x14ac:dyDescent="0.3">
      <c r="A196" t="s">
        <v>16</v>
      </c>
      <c r="B196" t="s">
        <v>10</v>
      </c>
      <c r="C196" t="s">
        <v>6</v>
      </c>
      <c r="D196" s="2">
        <v>3270</v>
      </c>
      <c r="E196" s="2">
        <v>130.80000000000001</v>
      </c>
      <c r="F196" s="2">
        <v>3139.2</v>
      </c>
      <c r="G196" s="2">
        <v>2180</v>
      </c>
      <c r="H196" s="2">
        <v>959.19999999999982</v>
      </c>
      <c r="I196" s="1">
        <v>43709</v>
      </c>
      <c r="J196" t="s">
        <v>28</v>
      </c>
      <c r="K196">
        <v>2019</v>
      </c>
      <c r="L196" s="2"/>
    </row>
    <row r="197" spans="1:12" x14ac:dyDescent="0.3">
      <c r="A197" t="s">
        <v>3</v>
      </c>
      <c r="B197" t="s">
        <v>10</v>
      </c>
      <c r="C197" t="s">
        <v>6</v>
      </c>
      <c r="D197" s="2">
        <v>41480</v>
      </c>
      <c r="E197" s="2">
        <v>1659.2</v>
      </c>
      <c r="F197" s="2">
        <v>39820.800000000003</v>
      </c>
      <c r="G197" s="2">
        <v>20740</v>
      </c>
      <c r="H197" s="2">
        <v>19080.800000000003</v>
      </c>
      <c r="I197" s="1">
        <v>43709</v>
      </c>
      <c r="J197" t="s">
        <v>28</v>
      </c>
      <c r="K197">
        <v>2019</v>
      </c>
      <c r="L197" s="2"/>
    </row>
    <row r="198" spans="1:12" x14ac:dyDescent="0.3">
      <c r="A198" t="s">
        <v>3</v>
      </c>
      <c r="B198" t="s">
        <v>12</v>
      </c>
      <c r="C198" t="s">
        <v>6</v>
      </c>
      <c r="D198" s="2">
        <v>21120</v>
      </c>
      <c r="E198" s="2">
        <v>844.8</v>
      </c>
      <c r="F198" s="2">
        <v>20275.2</v>
      </c>
      <c r="G198" s="2">
        <v>10560</v>
      </c>
      <c r="H198" s="2">
        <v>9715.2000000000007</v>
      </c>
      <c r="I198" s="1">
        <v>43709</v>
      </c>
      <c r="J198" t="s">
        <v>28</v>
      </c>
      <c r="K198">
        <v>2019</v>
      </c>
      <c r="L198" s="2"/>
    </row>
    <row r="199" spans="1:12" x14ac:dyDescent="0.3">
      <c r="A199" t="s">
        <v>16</v>
      </c>
      <c r="B199" t="s">
        <v>12</v>
      </c>
      <c r="C199" t="s">
        <v>6</v>
      </c>
      <c r="D199" s="2">
        <v>10065</v>
      </c>
      <c r="E199" s="2">
        <v>402.6</v>
      </c>
      <c r="F199" s="2">
        <v>9662.4</v>
      </c>
      <c r="G199" s="2">
        <v>6710</v>
      </c>
      <c r="H199" s="2">
        <v>2952.3999999999996</v>
      </c>
      <c r="I199" s="1">
        <v>43374</v>
      </c>
      <c r="J199" t="s">
        <v>29</v>
      </c>
      <c r="K199">
        <v>2018</v>
      </c>
      <c r="L199" s="2"/>
    </row>
    <row r="200" spans="1:12" x14ac:dyDescent="0.3">
      <c r="A200" t="s">
        <v>16</v>
      </c>
      <c r="B200" t="s">
        <v>32</v>
      </c>
      <c r="C200" t="s">
        <v>6</v>
      </c>
      <c r="D200" s="2">
        <v>22710</v>
      </c>
      <c r="E200" s="2">
        <v>908.4</v>
      </c>
      <c r="F200" s="2">
        <v>21801.599999999999</v>
      </c>
      <c r="G200" s="2">
        <v>15140</v>
      </c>
      <c r="H200" s="2">
        <v>6661.5999999999985</v>
      </c>
      <c r="I200" s="1">
        <v>43374</v>
      </c>
      <c r="J200" t="s">
        <v>29</v>
      </c>
      <c r="K200">
        <v>2018</v>
      </c>
      <c r="L200" s="2"/>
    </row>
    <row r="201" spans="1:12" x14ac:dyDescent="0.3">
      <c r="A201" t="s">
        <v>3</v>
      </c>
      <c r="B201" t="s">
        <v>12</v>
      </c>
      <c r="C201" t="s">
        <v>6</v>
      </c>
      <c r="D201" s="2">
        <v>95900</v>
      </c>
      <c r="E201" s="2">
        <v>3836</v>
      </c>
      <c r="F201" s="2">
        <v>92064</v>
      </c>
      <c r="G201" s="2">
        <v>71240</v>
      </c>
      <c r="H201" s="2">
        <v>20824</v>
      </c>
      <c r="I201" s="1">
        <v>43800</v>
      </c>
      <c r="J201" t="s">
        <v>24</v>
      </c>
      <c r="K201">
        <v>2019</v>
      </c>
      <c r="L201" s="2"/>
    </row>
    <row r="202" spans="1:12" x14ac:dyDescent="0.3">
      <c r="A202" t="s">
        <v>17</v>
      </c>
      <c r="B202" t="s">
        <v>32</v>
      </c>
      <c r="C202" t="s">
        <v>6</v>
      </c>
      <c r="D202" s="2">
        <v>142250</v>
      </c>
      <c r="E202" s="2">
        <v>5690</v>
      </c>
      <c r="F202" s="2">
        <v>136560</v>
      </c>
      <c r="G202" s="2">
        <v>136560</v>
      </c>
      <c r="H202" s="2">
        <v>0</v>
      </c>
      <c r="I202" s="1">
        <v>43800</v>
      </c>
      <c r="J202" t="s">
        <v>24</v>
      </c>
      <c r="K202">
        <v>2019</v>
      </c>
      <c r="L202" s="2"/>
    </row>
    <row r="203" spans="1:12" x14ac:dyDescent="0.3">
      <c r="A203" t="s">
        <v>14</v>
      </c>
      <c r="B203" t="s">
        <v>12</v>
      </c>
      <c r="C203" t="s">
        <v>7</v>
      </c>
      <c r="D203" s="2">
        <v>17580</v>
      </c>
      <c r="E203" s="2">
        <v>703.2</v>
      </c>
      <c r="F203" s="2">
        <v>16876.8</v>
      </c>
      <c r="G203" s="2">
        <v>4395</v>
      </c>
      <c r="H203" s="2">
        <v>12481.8</v>
      </c>
      <c r="I203" s="1">
        <v>43525</v>
      </c>
      <c r="J203" t="s">
        <v>25</v>
      </c>
      <c r="K203">
        <v>2019</v>
      </c>
      <c r="L203" s="2"/>
    </row>
    <row r="204" spans="1:12" x14ac:dyDescent="0.3">
      <c r="A204" t="s">
        <v>3</v>
      </c>
      <c r="B204" t="s">
        <v>10</v>
      </c>
      <c r="C204" t="s">
        <v>7</v>
      </c>
      <c r="D204" s="2">
        <v>52920</v>
      </c>
      <c r="E204" s="2">
        <v>2116.8000000000002</v>
      </c>
      <c r="F204" s="2">
        <v>50803.199999999997</v>
      </c>
      <c r="G204" s="2">
        <v>26460</v>
      </c>
      <c r="H204" s="2">
        <v>24343.199999999997</v>
      </c>
      <c r="I204" s="1">
        <v>43344</v>
      </c>
      <c r="J204" t="s">
        <v>28</v>
      </c>
      <c r="K204">
        <v>2018</v>
      </c>
      <c r="L204" s="2"/>
    </row>
    <row r="205" spans="1:12" x14ac:dyDescent="0.3">
      <c r="A205" t="s">
        <v>3</v>
      </c>
      <c r="B205" t="s">
        <v>33</v>
      </c>
      <c r="C205" t="s">
        <v>7</v>
      </c>
      <c r="D205" s="2">
        <v>761950</v>
      </c>
      <c r="E205" s="2">
        <v>30478</v>
      </c>
      <c r="F205" s="2">
        <v>731472</v>
      </c>
      <c r="G205" s="2">
        <v>566020</v>
      </c>
      <c r="H205" s="2">
        <v>165452</v>
      </c>
      <c r="I205" s="1">
        <v>43739</v>
      </c>
      <c r="J205" t="s">
        <v>29</v>
      </c>
      <c r="K205">
        <v>2019</v>
      </c>
      <c r="L205" s="2"/>
    </row>
    <row r="206" spans="1:12" x14ac:dyDescent="0.3">
      <c r="A206" t="s">
        <v>14</v>
      </c>
      <c r="B206" t="s">
        <v>33</v>
      </c>
      <c r="C206" t="s">
        <v>8</v>
      </c>
      <c r="D206" s="2">
        <v>10392</v>
      </c>
      <c r="E206" s="2">
        <v>415.68</v>
      </c>
      <c r="F206" s="2">
        <v>9976.32</v>
      </c>
      <c r="G206" s="2">
        <v>2598</v>
      </c>
      <c r="H206" s="2">
        <v>7378.32</v>
      </c>
      <c r="I206" s="1">
        <v>43586</v>
      </c>
      <c r="J206" t="s">
        <v>31</v>
      </c>
      <c r="K206">
        <v>2019</v>
      </c>
      <c r="L206" s="2"/>
    </row>
    <row r="207" spans="1:12" x14ac:dyDescent="0.3">
      <c r="A207" t="s">
        <v>3</v>
      </c>
      <c r="B207" t="s">
        <v>12</v>
      </c>
      <c r="C207" t="s">
        <v>8</v>
      </c>
      <c r="D207" s="2">
        <v>122150</v>
      </c>
      <c r="E207" s="2">
        <v>4886</v>
      </c>
      <c r="F207" s="2">
        <v>117264</v>
      </c>
      <c r="G207" s="2">
        <v>90740</v>
      </c>
      <c r="H207" s="2">
        <v>26524</v>
      </c>
      <c r="I207" s="1">
        <v>43344</v>
      </c>
      <c r="J207" t="s">
        <v>28</v>
      </c>
      <c r="K207">
        <v>2018</v>
      </c>
      <c r="L207" s="2"/>
    </row>
    <row r="208" spans="1:12" x14ac:dyDescent="0.3">
      <c r="A208" t="s">
        <v>3</v>
      </c>
      <c r="B208" t="s">
        <v>33</v>
      </c>
      <c r="C208" t="s">
        <v>8</v>
      </c>
      <c r="D208" s="2">
        <v>761950</v>
      </c>
      <c r="E208" s="2">
        <v>30478</v>
      </c>
      <c r="F208" s="2">
        <v>731472</v>
      </c>
      <c r="G208" s="2">
        <v>566020</v>
      </c>
      <c r="H208" s="2">
        <v>165452</v>
      </c>
      <c r="I208" s="1">
        <v>43739</v>
      </c>
      <c r="J208" t="s">
        <v>29</v>
      </c>
      <c r="K208">
        <v>2019</v>
      </c>
      <c r="L208" s="2"/>
    </row>
    <row r="209" spans="1:12" x14ac:dyDescent="0.3">
      <c r="A209" t="s">
        <v>16</v>
      </c>
      <c r="B209" t="s">
        <v>32</v>
      </c>
      <c r="C209" t="s">
        <v>8</v>
      </c>
      <c r="D209" s="2">
        <v>22710</v>
      </c>
      <c r="E209" s="2">
        <v>908.4</v>
      </c>
      <c r="F209" s="2">
        <v>21801.599999999999</v>
      </c>
      <c r="G209" s="2">
        <v>15140</v>
      </c>
      <c r="H209" s="2">
        <v>6661.5999999999985</v>
      </c>
      <c r="I209" s="1">
        <v>43374</v>
      </c>
      <c r="J209" t="s">
        <v>29</v>
      </c>
      <c r="K209">
        <v>2018</v>
      </c>
      <c r="L209" s="2"/>
    </row>
    <row r="210" spans="1:12" x14ac:dyDescent="0.3">
      <c r="A210" t="s">
        <v>3</v>
      </c>
      <c r="B210" t="s">
        <v>32</v>
      </c>
      <c r="C210" t="s">
        <v>9</v>
      </c>
      <c r="D210" s="2">
        <v>652750</v>
      </c>
      <c r="E210" s="2">
        <v>26110</v>
      </c>
      <c r="F210" s="2">
        <v>626640</v>
      </c>
      <c r="G210" s="2">
        <v>484900</v>
      </c>
      <c r="H210" s="2">
        <v>141740</v>
      </c>
      <c r="I210" s="1">
        <v>43497</v>
      </c>
      <c r="J210" t="s">
        <v>22</v>
      </c>
      <c r="K210">
        <v>2019</v>
      </c>
      <c r="L210" s="2"/>
    </row>
    <row r="211" spans="1:12" x14ac:dyDescent="0.3">
      <c r="A211" t="s">
        <v>17</v>
      </c>
      <c r="B211" t="s">
        <v>32</v>
      </c>
      <c r="C211" t="s">
        <v>9</v>
      </c>
      <c r="D211" s="2">
        <v>134250</v>
      </c>
      <c r="E211" s="2">
        <v>5370</v>
      </c>
      <c r="F211" s="2">
        <v>128880</v>
      </c>
      <c r="G211" s="2">
        <v>128880</v>
      </c>
      <c r="H211" s="2">
        <v>0</v>
      </c>
      <c r="I211" s="1">
        <v>43556</v>
      </c>
      <c r="J211" t="s">
        <v>38</v>
      </c>
      <c r="K211">
        <v>2019</v>
      </c>
      <c r="L211" s="2"/>
    </row>
    <row r="212" spans="1:12" x14ac:dyDescent="0.3">
      <c r="A212" t="s">
        <v>3</v>
      </c>
      <c r="B212" t="s">
        <v>11</v>
      </c>
      <c r="C212" t="s">
        <v>9</v>
      </c>
      <c r="D212" s="2">
        <v>667450</v>
      </c>
      <c r="E212" s="2">
        <v>26698</v>
      </c>
      <c r="F212" s="2">
        <v>640752</v>
      </c>
      <c r="G212" s="2">
        <v>495820</v>
      </c>
      <c r="H212" s="2">
        <v>144932</v>
      </c>
      <c r="I212" s="1">
        <v>43709</v>
      </c>
      <c r="J212" t="s">
        <v>28</v>
      </c>
      <c r="K212">
        <v>2019</v>
      </c>
      <c r="L212" s="2"/>
    </row>
    <row r="213" spans="1:12" x14ac:dyDescent="0.3">
      <c r="A213" t="s">
        <v>16</v>
      </c>
      <c r="B213" t="s">
        <v>12</v>
      </c>
      <c r="C213" t="s">
        <v>9</v>
      </c>
      <c r="D213" s="2">
        <v>10065</v>
      </c>
      <c r="E213" s="2">
        <v>402.6</v>
      </c>
      <c r="F213" s="2">
        <v>9662.4</v>
      </c>
      <c r="G213" s="2">
        <v>6710</v>
      </c>
      <c r="H213" s="2">
        <v>2952.3999999999996</v>
      </c>
      <c r="I213" s="1">
        <v>43374</v>
      </c>
      <c r="J213" t="s">
        <v>29</v>
      </c>
      <c r="K213">
        <v>2018</v>
      </c>
      <c r="L213" s="2"/>
    </row>
    <row r="214" spans="1:12" x14ac:dyDescent="0.3">
      <c r="A214" t="s">
        <v>3</v>
      </c>
      <c r="B214" t="s">
        <v>10</v>
      </c>
      <c r="C214" t="s">
        <v>9</v>
      </c>
      <c r="D214" s="2">
        <v>622300</v>
      </c>
      <c r="E214" s="2">
        <v>24892</v>
      </c>
      <c r="F214" s="2">
        <v>597408</v>
      </c>
      <c r="G214" s="2">
        <v>462280</v>
      </c>
      <c r="H214" s="2">
        <v>135128</v>
      </c>
      <c r="I214" s="1">
        <v>43435</v>
      </c>
      <c r="J214" t="s">
        <v>24</v>
      </c>
      <c r="K214">
        <v>2018</v>
      </c>
      <c r="L214" s="2"/>
    </row>
    <row r="215" spans="1:12" x14ac:dyDescent="0.3">
      <c r="A215" t="s">
        <v>3</v>
      </c>
      <c r="B215" t="s">
        <v>11</v>
      </c>
      <c r="C215" t="s">
        <v>5</v>
      </c>
      <c r="D215" s="2">
        <v>8113</v>
      </c>
      <c r="E215" s="2">
        <v>405.65</v>
      </c>
      <c r="F215" s="2">
        <v>7707.35</v>
      </c>
      <c r="G215" s="2">
        <v>5795</v>
      </c>
      <c r="H215" s="2">
        <v>1912.3500000000004</v>
      </c>
      <c r="I215" s="1">
        <v>43374</v>
      </c>
      <c r="J215" t="s">
        <v>29</v>
      </c>
      <c r="K215">
        <v>2018</v>
      </c>
      <c r="L215" s="2"/>
    </row>
    <row r="216" spans="1:12" x14ac:dyDescent="0.3">
      <c r="A216" t="s">
        <v>3</v>
      </c>
      <c r="B216" t="s">
        <v>11</v>
      </c>
      <c r="C216" t="s">
        <v>6</v>
      </c>
      <c r="D216" s="2">
        <v>9604</v>
      </c>
      <c r="E216" s="2">
        <v>480.2</v>
      </c>
      <c r="F216" s="2">
        <v>9123.7999999999993</v>
      </c>
      <c r="G216" s="2">
        <v>6860</v>
      </c>
      <c r="H216" s="2">
        <v>2263.7999999999993</v>
      </c>
      <c r="I216" s="1">
        <v>43466</v>
      </c>
      <c r="J216" t="s">
        <v>21</v>
      </c>
      <c r="K216">
        <v>2019</v>
      </c>
      <c r="L216" s="2"/>
    </row>
    <row r="217" spans="1:12" x14ac:dyDescent="0.3">
      <c r="A217" t="s">
        <v>3</v>
      </c>
      <c r="B217" t="s">
        <v>10</v>
      </c>
      <c r="C217" t="s">
        <v>6</v>
      </c>
      <c r="D217" s="2">
        <v>16443</v>
      </c>
      <c r="E217" s="2">
        <v>822.15</v>
      </c>
      <c r="F217" s="2">
        <v>15620.85</v>
      </c>
      <c r="G217" s="2">
        <v>11745</v>
      </c>
      <c r="H217" s="2">
        <v>3875.8500000000004</v>
      </c>
      <c r="I217" s="1">
        <v>43344</v>
      </c>
      <c r="J217" t="s">
        <v>28</v>
      </c>
      <c r="K217">
        <v>2018</v>
      </c>
      <c r="L217" s="2"/>
    </row>
    <row r="218" spans="1:12" x14ac:dyDescent="0.3">
      <c r="A218" t="s">
        <v>3</v>
      </c>
      <c r="B218" t="s">
        <v>32</v>
      </c>
      <c r="C218" t="s">
        <v>6</v>
      </c>
      <c r="D218" s="2">
        <v>18823</v>
      </c>
      <c r="E218" s="2">
        <v>941.15</v>
      </c>
      <c r="F218" s="2">
        <v>17881.849999999999</v>
      </c>
      <c r="G218" s="2">
        <v>13445</v>
      </c>
      <c r="H218" s="2">
        <v>4436.8499999999985</v>
      </c>
      <c r="I218" s="1">
        <v>43739</v>
      </c>
      <c r="J218" t="s">
        <v>29</v>
      </c>
      <c r="K218">
        <v>2019</v>
      </c>
      <c r="L218" s="2"/>
    </row>
    <row r="219" spans="1:12" x14ac:dyDescent="0.3">
      <c r="A219" t="s">
        <v>14</v>
      </c>
      <c r="B219" t="s">
        <v>10</v>
      </c>
      <c r="C219" t="s">
        <v>6</v>
      </c>
      <c r="D219" s="2">
        <v>29172</v>
      </c>
      <c r="E219" s="2">
        <v>1458.6</v>
      </c>
      <c r="F219" s="2">
        <v>27713.4</v>
      </c>
      <c r="G219" s="2">
        <v>7293</v>
      </c>
      <c r="H219" s="2">
        <v>20420.400000000001</v>
      </c>
      <c r="I219" s="1">
        <v>43800</v>
      </c>
      <c r="J219" t="s">
        <v>24</v>
      </c>
      <c r="K219">
        <v>2019</v>
      </c>
      <c r="L219" s="2"/>
    </row>
    <row r="220" spans="1:12" x14ac:dyDescent="0.3">
      <c r="A220" t="s">
        <v>14</v>
      </c>
      <c r="B220" t="s">
        <v>10</v>
      </c>
      <c r="C220" t="s">
        <v>7</v>
      </c>
      <c r="D220" s="2">
        <v>29172</v>
      </c>
      <c r="E220" s="2">
        <v>1458.6</v>
      </c>
      <c r="F220" s="2">
        <v>27713.4</v>
      </c>
      <c r="G220" s="2">
        <v>7293</v>
      </c>
      <c r="H220" s="2">
        <v>20420.400000000001</v>
      </c>
      <c r="I220" s="1">
        <v>43800</v>
      </c>
      <c r="J220" t="s">
        <v>24</v>
      </c>
      <c r="K220">
        <v>2019</v>
      </c>
      <c r="L220" s="2"/>
    </row>
    <row r="221" spans="1:12" x14ac:dyDescent="0.3">
      <c r="A221" t="s">
        <v>3</v>
      </c>
      <c r="B221" t="s">
        <v>32</v>
      </c>
      <c r="C221" t="s">
        <v>8</v>
      </c>
      <c r="D221" s="2">
        <v>18823</v>
      </c>
      <c r="E221" s="2">
        <v>941.15</v>
      </c>
      <c r="F221" s="2">
        <v>17881.849999999999</v>
      </c>
      <c r="G221" s="2">
        <v>13445</v>
      </c>
      <c r="H221" s="2">
        <v>4436.8499999999985</v>
      </c>
      <c r="I221" s="1">
        <v>43739</v>
      </c>
      <c r="J221" t="s">
        <v>29</v>
      </c>
      <c r="K221">
        <v>2019</v>
      </c>
      <c r="L221" s="2"/>
    </row>
    <row r="222" spans="1:12" x14ac:dyDescent="0.3">
      <c r="A222" t="s">
        <v>3</v>
      </c>
      <c r="B222" t="s">
        <v>32</v>
      </c>
      <c r="C222" t="s">
        <v>9</v>
      </c>
      <c r="D222" s="2">
        <v>11781</v>
      </c>
      <c r="E222" s="2">
        <v>589.04999999999995</v>
      </c>
      <c r="F222" s="2">
        <v>11191.95</v>
      </c>
      <c r="G222" s="2">
        <v>8415</v>
      </c>
      <c r="H222" s="2">
        <v>2776.9500000000007</v>
      </c>
      <c r="I222" s="1">
        <v>43647</v>
      </c>
      <c r="J222" t="s">
        <v>26</v>
      </c>
      <c r="K222">
        <v>2019</v>
      </c>
      <c r="L222" s="2"/>
    </row>
    <row r="223" spans="1:12" x14ac:dyDescent="0.3">
      <c r="A223" t="s">
        <v>14</v>
      </c>
      <c r="B223" t="s">
        <v>32</v>
      </c>
      <c r="C223" t="s">
        <v>9</v>
      </c>
      <c r="D223" s="2">
        <v>13476</v>
      </c>
      <c r="E223" s="2">
        <v>673.8</v>
      </c>
      <c r="F223" s="2">
        <v>12802.2</v>
      </c>
      <c r="G223" s="2">
        <v>3369</v>
      </c>
      <c r="H223" s="2">
        <v>9433.2000000000007</v>
      </c>
      <c r="I223" s="1">
        <v>43678</v>
      </c>
      <c r="J223" t="s">
        <v>27</v>
      </c>
      <c r="K223">
        <v>2019</v>
      </c>
      <c r="L223" s="2"/>
    </row>
    <row r="224" spans="1:12" x14ac:dyDescent="0.3">
      <c r="A224" t="s">
        <v>3</v>
      </c>
      <c r="B224" t="s">
        <v>11</v>
      </c>
      <c r="C224" t="s">
        <v>9</v>
      </c>
      <c r="D224" s="2">
        <v>8113</v>
      </c>
      <c r="E224" s="2">
        <v>405.65</v>
      </c>
      <c r="F224" s="2">
        <v>7707.35</v>
      </c>
      <c r="G224" s="2">
        <v>5795</v>
      </c>
      <c r="H224" s="2">
        <v>1912.3500000000004</v>
      </c>
      <c r="I224" s="1">
        <v>43374</v>
      </c>
      <c r="J224" t="s">
        <v>29</v>
      </c>
      <c r="K224">
        <v>2018</v>
      </c>
      <c r="L224" s="2"/>
    </row>
    <row r="225" spans="1:12" x14ac:dyDescent="0.3">
      <c r="A225" t="s">
        <v>14</v>
      </c>
      <c r="B225" t="s">
        <v>33</v>
      </c>
      <c r="C225" t="s">
        <v>2</v>
      </c>
      <c r="D225" s="2">
        <v>22380</v>
      </c>
      <c r="E225" s="2">
        <v>1119</v>
      </c>
      <c r="F225" s="2">
        <v>21261</v>
      </c>
      <c r="G225" s="2">
        <v>6154.5000000000009</v>
      </c>
      <c r="H225" s="2">
        <v>15106.5</v>
      </c>
      <c r="I225" s="1">
        <v>43497</v>
      </c>
      <c r="J225" t="s">
        <v>22</v>
      </c>
      <c r="K225">
        <v>2019</v>
      </c>
      <c r="L225" s="2"/>
    </row>
    <row r="226" spans="1:12" x14ac:dyDescent="0.3">
      <c r="A226" t="s">
        <v>14</v>
      </c>
      <c r="B226" t="s">
        <v>11</v>
      </c>
      <c r="C226" t="s">
        <v>2</v>
      </c>
      <c r="D226" s="2">
        <v>13392</v>
      </c>
      <c r="E226" s="2">
        <v>669.6</v>
      </c>
      <c r="F226" s="2">
        <v>12722.4</v>
      </c>
      <c r="G226" s="2">
        <v>3682.8</v>
      </c>
      <c r="H226" s="2">
        <v>9039.5999999999985</v>
      </c>
      <c r="I226" s="1">
        <v>43497</v>
      </c>
      <c r="J226" t="s">
        <v>22</v>
      </c>
      <c r="K226">
        <v>2019</v>
      </c>
      <c r="L226" s="2"/>
    </row>
    <row r="227" spans="1:12" x14ac:dyDescent="0.3">
      <c r="A227" t="s">
        <v>3</v>
      </c>
      <c r="B227" t="s">
        <v>33</v>
      </c>
      <c r="C227" t="s">
        <v>2</v>
      </c>
      <c r="D227" s="2">
        <v>31260</v>
      </c>
      <c r="E227" s="2">
        <v>1563</v>
      </c>
      <c r="F227" s="2">
        <v>29697</v>
      </c>
      <c r="G227" s="2">
        <v>17193</v>
      </c>
      <c r="H227" s="2">
        <v>12504</v>
      </c>
      <c r="I227" s="1">
        <v>43586</v>
      </c>
      <c r="J227" t="s">
        <v>31</v>
      </c>
      <c r="K227">
        <v>2019</v>
      </c>
      <c r="L227" s="2"/>
    </row>
    <row r="228" spans="1:12" x14ac:dyDescent="0.3">
      <c r="A228" t="s">
        <v>13</v>
      </c>
      <c r="B228" t="s">
        <v>12</v>
      </c>
      <c r="C228" t="s">
        <v>2</v>
      </c>
      <c r="D228" s="2">
        <v>297300</v>
      </c>
      <c r="E228" s="2">
        <v>14865</v>
      </c>
      <c r="F228" s="2">
        <v>282435</v>
      </c>
      <c r="G228" s="2">
        <v>272525</v>
      </c>
      <c r="H228" s="2">
        <v>9910</v>
      </c>
      <c r="I228" s="1">
        <v>43617</v>
      </c>
      <c r="J228" t="s">
        <v>23</v>
      </c>
      <c r="K228">
        <v>2019</v>
      </c>
      <c r="L228" s="2"/>
    </row>
    <row r="229" spans="1:12" x14ac:dyDescent="0.3">
      <c r="A229" t="s">
        <v>3</v>
      </c>
      <c r="B229" t="s">
        <v>11</v>
      </c>
      <c r="C229" t="s">
        <v>2</v>
      </c>
      <c r="D229" s="2">
        <v>7112</v>
      </c>
      <c r="E229" s="2">
        <v>355.6</v>
      </c>
      <c r="F229" s="2">
        <v>6756.4</v>
      </c>
      <c r="G229" s="2">
        <v>5588</v>
      </c>
      <c r="H229" s="2">
        <v>1168.3999999999996</v>
      </c>
      <c r="I229" s="1">
        <v>43405</v>
      </c>
      <c r="J229" t="s">
        <v>30</v>
      </c>
      <c r="K229">
        <v>2018</v>
      </c>
      <c r="L229" s="2"/>
    </row>
    <row r="230" spans="1:12" x14ac:dyDescent="0.3">
      <c r="A230" t="s">
        <v>16</v>
      </c>
      <c r="B230" t="s">
        <v>32</v>
      </c>
      <c r="C230" t="s">
        <v>2</v>
      </c>
      <c r="D230" s="2">
        <v>41865</v>
      </c>
      <c r="E230" s="2">
        <v>2093.25</v>
      </c>
      <c r="F230" s="2">
        <v>39771.75</v>
      </c>
      <c r="G230" s="2">
        <v>30701.000000000004</v>
      </c>
      <c r="H230" s="2">
        <v>9070.7499999999964</v>
      </c>
      <c r="I230" s="1">
        <v>43770</v>
      </c>
      <c r="J230" t="s">
        <v>30</v>
      </c>
      <c r="K230">
        <v>2019</v>
      </c>
      <c r="L230" s="2"/>
    </row>
    <row r="231" spans="1:12" x14ac:dyDescent="0.3">
      <c r="A231" t="s">
        <v>3</v>
      </c>
      <c r="B231" t="s">
        <v>12</v>
      </c>
      <c r="C231" t="s">
        <v>2</v>
      </c>
      <c r="D231" s="2">
        <v>3990</v>
      </c>
      <c r="E231" s="2">
        <v>199.5</v>
      </c>
      <c r="F231" s="2">
        <v>3790.5</v>
      </c>
      <c r="G231" s="2">
        <v>3135.0000000000005</v>
      </c>
      <c r="H231" s="2">
        <v>655.49999999999955</v>
      </c>
      <c r="I231" s="1">
        <v>43800</v>
      </c>
      <c r="J231" t="s">
        <v>24</v>
      </c>
      <c r="K231">
        <v>2019</v>
      </c>
      <c r="L231" s="2"/>
    </row>
    <row r="232" spans="1:12" x14ac:dyDescent="0.3">
      <c r="A232" t="s">
        <v>3</v>
      </c>
      <c r="B232" t="s">
        <v>33</v>
      </c>
      <c r="C232" t="s">
        <v>2</v>
      </c>
      <c r="D232" s="2">
        <v>17409</v>
      </c>
      <c r="E232" s="2">
        <v>870.45</v>
      </c>
      <c r="F232" s="2">
        <v>16538.55</v>
      </c>
      <c r="G232" s="2">
        <v>13678.500000000002</v>
      </c>
      <c r="H232" s="2">
        <v>2860.0499999999975</v>
      </c>
      <c r="I232" s="1">
        <v>43800</v>
      </c>
      <c r="J232" t="s">
        <v>24</v>
      </c>
      <c r="K232">
        <v>2019</v>
      </c>
      <c r="L232" s="2"/>
    </row>
    <row r="233" spans="1:12" x14ac:dyDescent="0.3">
      <c r="A233" t="s">
        <v>3</v>
      </c>
      <c r="B233" t="s">
        <v>33</v>
      </c>
      <c r="C233" t="s">
        <v>5</v>
      </c>
      <c r="D233" s="2">
        <v>484575</v>
      </c>
      <c r="E233" s="2">
        <v>24228.75</v>
      </c>
      <c r="F233" s="2">
        <v>460346.25</v>
      </c>
      <c r="G233" s="2">
        <v>359970</v>
      </c>
      <c r="H233" s="2">
        <v>100376.25</v>
      </c>
      <c r="I233" s="1">
        <v>43466</v>
      </c>
      <c r="J233" t="s">
        <v>21</v>
      </c>
      <c r="K233">
        <v>2019</v>
      </c>
      <c r="L233" s="2"/>
    </row>
    <row r="234" spans="1:12" x14ac:dyDescent="0.3">
      <c r="A234" t="s">
        <v>17</v>
      </c>
      <c r="B234" t="s">
        <v>12</v>
      </c>
      <c r="C234" t="s">
        <v>5</v>
      </c>
      <c r="D234" s="2">
        <v>453375</v>
      </c>
      <c r="E234" s="2">
        <v>22668.75</v>
      </c>
      <c r="F234" s="2">
        <v>430706.25</v>
      </c>
      <c r="G234" s="2">
        <v>435240</v>
      </c>
      <c r="H234" s="2">
        <v>-4533.75</v>
      </c>
      <c r="I234" s="1">
        <v>43647</v>
      </c>
      <c r="J234" t="s">
        <v>26</v>
      </c>
      <c r="K234">
        <v>2019</v>
      </c>
      <c r="L234" s="2"/>
    </row>
    <row r="235" spans="1:12" x14ac:dyDescent="0.3">
      <c r="A235" t="s">
        <v>3</v>
      </c>
      <c r="B235" t="s">
        <v>32</v>
      </c>
      <c r="C235" t="s">
        <v>5</v>
      </c>
      <c r="D235" s="2">
        <v>252000</v>
      </c>
      <c r="E235" s="2">
        <v>12600</v>
      </c>
      <c r="F235" s="2">
        <v>239400</v>
      </c>
      <c r="G235" s="2">
        <v>187200</v>
      </c>
      <c r="H235" s="2">
        <v>52200</v>
      </c>
      <c r="I235" s="1">
        <v>43344</v>
      </c>
      <c r="J235" t="s">
        <v>28</v>
      </c>
      <c r="K235">
        <v>2018</v>
      </c>
      <c r="L235" s="2"/>
    </row>
    <row r="236" spans="1:12" x14ac:dyDescent="0.3">
      <c r="A236" t="s">
        <v>14</v>
      </c>
      <c r="B236" t="s">
        <v>11</v>
      </c>
      <c r="C236" t="s">
        <v>5</v>
      </c>
      <c r="D236" s="2">
        <v>28104</v>
      </c>
      <c r="E236" s="2">
        <v>1405.2</v>
      </c>
      <c r="F236" s="2">
        <v>26698.799999999999</v>
      </c>
      <c r="G236" s="2">
        <v>7026</v>
      </c>
      <c r="H236" s="2">
        <v>19672.8</v>
      </c>
      <c r="I236" s="1">
        <v>43770</v>
      </c>
      <c r="J236" t="s">
        <v>30</v>
      </c>
      <c r="K236">
        <v>2019</v>
      </c>
      <c r="L236" s="2"/>
    </row>
    <row r="237" spans="1:12" x14ac:dyDescent="0.3">
      <c r="A237" t="s">
        <v>13</v>
      </c>
      <c r="B237" t="s">
        <v>32</v>
      </c>
      <c r="C237" t="s">
        <v>5</v>
      </c>
      <c r="D237" s="2">
        <v>330000</v>
      </c>
      <c r="E237" s="2">
        <v>16500</v>
      </c>
      <c r="F237" s="2">
        <v>313500</v>
      </c>
      <c r="G237" s="2">
        <v>275000</v>
      </c>
      <c r="H237" s="2">
        <v>38500</v>
      </c>
      <c r="I237" s="1">
        <v>43435</v>
      </c>
      <c r="J237" t="s">
        <v>24</v>
      </c>
      <c r="K237">
        <v>2018</v>
      </c>
      <c r="L237" s="2"/>
    </row>
    <row r="238" spans="1:12" x14ac:dyDescent="0.3">
      <c r="A238" t="s">
        <v>3</v>
      </c>
      <c r="B238" t="s">
        <v>33</v>
      </c>
      <c r="C238" t="s">
        <v>6</v>
      </c>
      <c r="D238" s="2">
        <v>26060</v>
      </c>
      <c r="E238" s="2">
        <v>1303</v>
      </c>
      <c r="F238" s="2">
        <v>24757</v>
      </c>
      <c r="G238" s="2">
        <v>13030</v>
      </c>
      <c r="H238" s="2">
        <v>11727</v>
      </c>
      <c r="I238" s="1">
        <v>43497</v>
      </c>
      <c r="J238" t="s">
        <v>22</v>
      </c>
      <c r="K238">
        <v>2019</v>
      </c>
      <c r="L238" s="2"/>
    </row>
    <row r="239" spans="1:12" x14ac:dyDescent="0.3">
      <c r="A239" t="s">
        <v>17</v>
      </c>
      <c r="B239" t="s">
        <v>12</v>
      </c>
      <c r="C239" t="s">
        <v>6</v>
      </c>
      <c r="D239" s="2">
        <v>374000</v>
      </c>
      <c r="E239" s="2">
        <v>18700</v>
      </c>
      <c r="F239" s="2">
        <v>355300</v>
      </c>
      <c r="G239" s="2">
        <v>359040</v>
      </c>
      <c r="H239" s="2">
        <v>-3740</v>
      </c>
      <c r="I239" s="1">
        <v>43525</v>
      </c>
      <c r="J239" t="s">
        <v>25</v>
      </c>
      <c r="K239">
        <v>2019</v>
      </c>
      <c r="L239" s="2"/>
    </row>
    <row r="240" spans="1:12" x14ac:dyDescent="0.3">
      <c r="A240" t="s">
        <v>17</v>
      </c>
      <c r="B240" t="s">
        <v>33</v>
      </c>
      <c r="C240" t="s">
        <v>6</v>
      </c>
      <c r="D240" s="2">
        <v>298125</v>
      </c>
      <c r="E240" s="2">
        <v>14906.25</v>
      </c>
      <c r="F240" s="2">
        <v>283218.75</v>
      </c>
      <c r="G240" s="2">
        <v>286200</v>
      </c>
      <c r="H240" s="2">
        <v>-2981.25</v>
      </c>
      <c r="I240" s="1">
        <v>43525</v>
      </c>
      <c r="J240" t="s">
        <v>25</v>
      </c>
      <c r="K240">
        <v>2019</v>
      </c>
      <c r="L240" s="2"/>
    </row>
    <row r="241" spans="1:12" x14ac:dyDescent="0.3">
      <c r="A241" t="s">
        <v>13</v>
      </c>
      <c r="B241" t="s">
        <v>32</v>
      </c>
      <c r="C241" t="s">
        <v>6</v>
      </c>
      <c r="D241" s="2">
        <v>482100</v>
      </c>
      <c r="E241" s="2">
        <v>24105</v>
      </c>
      <c r="F241" s="2">
        <v>457995</v>
      </c>
      <c r="G241" s="2">
        <v>401750</v>
      </c>
      <c r="H241" s="2">
        <v>56245</v>
      </c>
      <c r="I241" s="1">
        <v>43556</v>
      </c>
      <c r="J241" t="s">
        <v>38</v>
      </c>
      <c r="K241">
        <v>2019</v>
      </c>
      <c r="L241" s="2"/>
    </row>
    <row r="242" spans="1:12" x14ac:dyDescent="0.3">
      <c r="A242" t="s">
        <v>3</v>
      </c>
      <c r="B242" t="s">
        <v>12</v>
      </c>
      <c r="C242" t="s">
        <v>6</v>
      </c>
      <c r="D242" s="2">
        <v>16289</v>
      </c>
      <c r="E242" s="2">
        <v>814.45</v>
      </c>
      <c r="F242" s="2">
        <v>15474.55</v>
      </c>
      <c r="G242" s="2">
        <v>11635</v>
      </c>
      <c r="H242" s="2">
        <v>3839.5499999999993</v>
      </c>
      <c r="I242" s="1">
        <v>43586</v>
      </c>
      <c r="J242" t="s">
        <v>31</v>
      </c>
      <c r="K242">
        <v>2019</v>
      </c>
      <c r="L242" s="2"/>
    </row>
    <row r="243" spans="1:12" x14ac:dyDescent="0.3">
      <c r="A243" t="s">
        <v>13</v>
      </c>
      <c r="B243" t="s">
        <v>12</v>
      </c>
      <c r="C243" t="s">
        <v>6</v>
      </c>
      <c r="D243" s="2">
        <v>297300</v>
      </c>
      <c r="E243" s="2">
        <v>14865</v>
      </c>
      <c r="F243" s="2">
        <v>282435</v>
      </c>
      <c r="G243" s="2">
        <v>247750</v>
      </c>
      <c r="H243" s="2">
        <v>34685</v>
      </c>
      <c r="I243" s="1">
        <v>43617</v>
      </c>
      <c r="J243" t="s">
        <v>23</v>
      </c>
      <c r="K243">
        <v>2019</v>
      </c>
      <c r="L243" s="2"/>
    </row>
    <row r="244" spans="1:12" x14ac:dyDescent="0.3">
      <c r="A244" t="s">
        <v>3</v>
      </c>
      <c r="B244" t="s">
        <v>12</v>
      </c>
      <c r="C244" t="s">
        <v>6</v>
      </c>
      <c r="D244" s="2">
        <v>210700</v>
      </c>
      <c r="E244" s="2">
        <v>10535</v>
      </c>
      <c r="F244" s="2">
        <v>200165</v>
      </c>
      <c r="G244" s="2">
        <v>156520</v>
      </c>
      <c r="H244" s="2">
        <v>43645</v>
      </c>
      <c r="I244" s="1">
        <v>43617</v>
      </c>
      <c r="J244" t="s">
        <v>23</v>
      </c>
      <c r="K244">
        <v>2019</v>
      </c>
      <c r="L244" s="2"/>
    </row>
    <row r="245" spans="1:12" x14ac:dyDescent="0.3">
      <c r="A245" t="s">
        <v>16</v>
      </c>
      <c r="B245" t="s">
        <v>33</v>
      </c>
      <c r="C245" t="s">
        <v>6</v>
      </c>
      <c r="D245" s="2">
        <v>39300</v>
      </c>
      <c r="E245" s="2">
        <v>1965</v>
      </c>
      <c r="F245" s="2">
        <v>37335</v>
      </c>
      <c r="G245" s="2">
        <v>26200</v>
      </c>
      <c r="H245" s="2">
        <v>11135</v>
      </c>
      <c r="I245" s="1">
        <v>43709</v>
      </c>
      <c r="J245" t="s">
        <v>28</v>
      </c>
      <c r="K245">
        <v>2019</v>
      </c>
      <c r="L245" s="2"/>
    </row>
    <row r="246" spans="1:12" x14ac:dyDescent="0.3">
      <c r="A246" t="s">
        <v>3</v>
      </c>
      <c r="B246" t="s">
        <v>10</v>
      </c>
      <c r="C246" t="s">
        <v>6</v>
      </c>
      <c r="D246" s="2">
        <v>429800</v>
      </c>
      <c r="E246" s="2">
        <v>21490</v>
      </c>
      <c r="F246" s="2">
        <v>408310</v>
      </c>
      <c r="G246" s="2">
        <v>319280</v>
      </c>
      <c r="H246" s="2">
        <v>89030</v>
      </c>
      <c r="I246" s="1">
        <v>43374</v>
      </c>
      <c r="J246" t="s">
        <v>29</v>
      </c>
      <c r="K246">
        <v>2018</v>
      </c>
      <c r="L246" s="2"/>
    </row>
    <row r="247" spans="1:12" x14ac:dyDescent="0.3">
      <c r="A247" t="s">
        <v>3</v>
      </c>
      <c r="B247" t="s">
        <v>10</v>
      </c>
      <c r="C247" t="s">
        <v>6</v>
      </c>
      <c r="D247" s="2">
        <v>27780</v>
      </c>
      <c r="E247" s="2">
        <v>1389</v>
      </c>
      <c r="F247" s="2">
        <v>26391</v>
      </c>
      <c r="G247" s="2">
        <v>13890</v>
      </c>
      <c r="H247" s="2">
        <v>12501</v>
      </c>
      <c r="I247" s="1">
        <v>43374</v>
      </c>
      <c r="J247" t="s">
        <v>29</v>
      </c>
      <c r="K247">
        <v>2018</v>
      </c>
      <c r="L247" s="2"/>
    </row>
    <row r="248" spans="1:12" x14ac:dyDescent="0.3">
      <c r="A248" t="s">
        <v>17</v>
      </c>
      <c r="B248" t="s">
        <v>12</v>
      </c>
      <c r="C248" t="s">
        <v>6</v>
      </c>
      <c r="D248" s="2">
        <v>107625</v>
      </c>
      <c r="E248" s="2">
        <v>5381.25</v>
      </c>
      <c r="F248" s="2">
        <v>102243.75</v>
      </c>
      <c r="G248" s="2">
        <v>103320</v>
      </c>
      <c r="H248" s="2">
        <v>-1076.25</v>
      </c>
      <c r="I248" s="1">
        <v>43739</v>
      </c>
      <c r="J248" t="s">
        <v>29</v>
      </c>
      <c r="K248">
        <v>2019</v>
      </c>
      <c r="L248" s="2"/>
    </row>
    <row r="249" spans="1:12" x14ac:dyDescent="0.3">
      <c r="A249" t="s">
        <v>17</v>
      </c>
      <c r="B249" t="s">
        <v>33</v>
      </c>
      <c r="C249" t="s">
        <v>6</v>
      </c>
      <c r="D249" s="2">
        <v>88000</v>
      </c>
      <c r="E249" s="2">
        <v>4400</v>
      </c>
      <c r="F249" s="2">
        <v>83600</v>
      </c>
      <c r="G249" s="2">
        <v>84480</v>
      </c>
      <c r="H249" s="2">
        <v>-880</v>
      </c>
      <c r="I249" s="1">
        <v>43374</v>
      </c>
      <c r="J249" t="s">
        <v>29</v>
      </c>
      <c r="K249">
        <v>2018</v>
      </c>
      <c r="L249" s="2"/>
    </row>
    <row r="250" spans="1:12" x14ac:dyDescent="0.3">
      <c r="A250" t="s">
        <v>3</v>
      </c>
      <c r="B250" t="s">
        <v>10</v>
      </c>
      <c r="C250" t="s">
        <v>6</v>
      </c>
      <c r="D250" s="2">
        <v>36040</v>
      </c>
      <c r="E250" s="2">
        <v>1802</v>
      </c>
      <c r="F250" s="2">
        <v>34238</v>
      </c>
      <c r="G250" s="2">
        <v>18020</v>
      </c>
      <c r="H250" s="2">
        <v>16218</v>
      </c>
      <c r="I250" s="1">
        <v>43435</v>
      </c>
      <c r="J250" t="s">
        <v>24</v>
      </c>
      <c r="K250">
        <v>2018</v>
      </c>
      <c r="L250" s="2"/>
    </row>
    <row r="251" spans="1:12" x14ac:dyDescent="0.3">
      <c r="A251" t="s">
        <v>3</v>
      </c>
      <c r="B251" t="s">
        <v>12</v>
      </c>
      <c r="C251" t="s">
        <v>6</v>
      </c>
      <c r="D251" s="2">
        <v>53260</v>
      </c>
      <c r="E251" s="2">
        <v>2663</v>
      </c>
      <c r="F251" s="2">
        <v>50597</v>
      </c>
      <c r="G251" s="2">
        <v>26630</v>
      </c>
      <c r="H251" s="2">
        <v>23967</v>
      </c>
      <c r="I251" s="1">
        <v>43800</v>
      </c>
      <c r="J251" t="s">
        <v>24</v>
      </c>
      <c r="K251">
        <v>2019</v>
      </c>
      <c r="L251" s="2"/>
    </row>
    <row r="252" spans="1:12" x14ac:dyDescent="0.3">
      <c r="A252" t="s">
        <v>3</v>
      </c>
      <c r="B252" t="s">
        <v>33</v>
      </c>
      <c r="C252" t="s">
        <v>6</v>
      </c>
      <c r="D252" s="2">
        <v>14952</v>
      </c>
      <c r="E252" s="2">
        <v>747.6</v>
      </c>
      <c r="F252" s="2">
        <v>14204.4</v>
      </c>
      <c r="G252" s="2">
        <v>10680</v>
      </c>
      <c r="H252" s="2">
        <v>3524.3999999999996</v>
      </c>
      <c r="I252" s="1">
        <v>43435</v>
      </c>
      <c r="J252" t="s">
        <v>24</v>
      </c>
      <c r="K252">
        <v>2018</v>
      </c>
      <c r="L252" s="2"/>
    </row>
    <row r="253" spans="1:12" x14ac:dyDescent="0.3">
      <c r="A253" t="s">
        <v>16</v>
      </c>
      <c r="B253" t="s">
        <v>11</v>
      </c>
      <c r="C253" t="s">
        <v>6</v>
      </c>
      <c r="D253" s="2">
        <v>31740</v>
      </c>
      <c r="E253" s="2">
        <v>1587</v>
      </c>
      <c r="F253" s="2">
        <v>30153</v>
      </c>
      <c r="G253" s="2">
        <v>21160</v>
      </c>
      <c r="H253" s="2">
        <v>8993</v>
      </c>
      <c r="I253" s="1">
        <v>43435</v>
      </c>
      <c r="J253" t="s">
        <v>24</v>
      </c>
      <c r="K253">
        <v>2018</v>
      </c>
      <c r="L253" s="2"/>
    </row>
    <row r="254" spans="1:12" x14ac:dyDescent="0.3">
      <c r="A254" t="s">
        <v>16</v>
      </c>
      <c r="B254" t="s">
        <v>12</v>
      </c>
      <c r="C254" t="s">
        <v>7</v>
      </c>
      <c r="D254" s="2">
        <v>8325</v>
      </c>
      <c r="E254" s="2">
        <v>416.25</v>
      </c>
      <c r="F254" s="2">
        <v>7908.75</v>
      </c>
      <c r="G254" s="2">
        <v>5550</v>
      </c>
      <c r="H254" s="2">
        <v>2358.75</v>
      </c>
      <c r="I254" s="1">
        <v>43466</v>
      </c>
      <c r="J254" t="s">
        <v>21</v>
      </c>
      <c r="K254">
        <v>2019</v>
      </c>
      <c r="L254" s="2"/>
    </row>
    <row r="255" spans="1:12" x14ac:dyDescent="0.3">
      <c r="A255" t="s">
        <v>16</v>
      </c>
      <c r="B255" t="s">
        <v>32</v>
      </c>
      <c r="C255" t="s">
        <v>7</v>
      </c>
      <c r="D255" s="2">
        <v>42915</v>
      </c>
      <c r="E255" s="2">
        <v>2145.75</v>
      </c>
      <c r="F255" s="2">
        <v>40769.25</v>
      </c>
      <c r="G255" s="2">
        <v>28610</v>
      </c>
      <c r="H255" s="2">
        <v>12159.25</v>
      </c>
      <c r="I255" s="1">
        <v>43466</v>
      </c>
      <c r="J255" t="s">
        <v>21</v>
      </c>
      <c r="K255">
        <v>2019</v>
      </c>
      <c r="L255" s="2"/>
    </row>
    <row r="256" spans="1:12" x14ac:dyDescent="0.3">
      <c r="A256" t="s">
        <v>17</v>
      </c>
      <c r="B256" t="s">
        <v>11</v>
      </c>
      <c r="C256" t="s">
        <v>7</v>
      </c>
      <c r="D256" s="2">
        <v>100875</v>
      </c>
      <c r="E256" s="2">
        <v>5043.75</v>
      </c>
      <c r="F256" s="2">
        <v>95831.25</v>
      </c>
      <c r="G256" s="2">
        <v>96840</v>
      </c>
      <c r="H256" s="2">
        <v>-1008.75</v>
      </c>
      <c r="I256" s="1">
        <v>43497</v>
      </c>
      <c r="J256" t="s">
        <v>22</v>
      </c>
      <c r="K256">
        <v>2019</v>
      </c>
      <c r="L256" s="2"/>
    </row>
    <row r="257" spans="1:12" x14ac:dyDescent="0.3">
      <c r="A257" t="s">
        <v>3</v>
      </c>
      <c r="B257" t="s">
        <v>12</v>
      </c>
      <c r="C257" t="s">
        <v>7</v>
      </c>
      <c r="D257" s="2">
        <v>210700</v>
      </c>
      <c r="E257" s="2">
        <v>10535</v>
      </c>
      <c r="F257" s="2">
        <v>200165</v>
      </c>
      <c r="G257" s="2">
        <v>156520</v>
      </c>
      <c r="H257" s="2">
        <v>43645</v>
      </c>
      <c r="I257" s="1">
        <v>43617</v>
      </c>
      <c r="J257" t="s">
        <v>23</v>
      </c>
      <c r="K257">
        <v>2019</v>
      </c>
      <c r="L257" s="2"/>
    </row>
    <row r="258" spans="1:12" x14ac:dyDescent="0.3">
      <c r="A258" t="s">
        <v>3</v>
      </c>
      <c r="B258" t="s">
        <v>12</v>
      </c>
      <c r="C258" t="s">
        <v>7</v>
      </c>
      <c r="D258" s="2">
        <v>56640</v>
      </c>
      <c r="E258" s="2">
        <v>2832</v>
      </c>
      <c r="F258" s="2">
        <v>53808</v>
      </c>
      <c r="G258" s="2">
        <v>28320</v>
      </c>
      <c r="H258" s="2">
        <v>25488</v>
      </c>
      <c r="I258" s="1">
        <v>43678</v>
      </c>
      <c r="J258" t="s">
        <v>27</v>
      </c>
      <c r="K258">
        <v>2019</v>
      </c>
      <c r="L258" s="2"/>
    </row>
    <row r="259" spans="1:12" x14ac:dyDescent="0.3">
      <c r="A259" t="s">
        <v>3</v>
      </c>
      <c r="B259" t="s">
        <v>33</v>
      </c>
      <c r="C259" t="s">
        <v>7</v>
      </c>
      <c r="D259" s="2">
        <v>31580</v>
      </c>
      <c r="E259" s="2">
        <v>1579</v>
      </c>
      <c r="F259" s="2">
        <v>30001</v>
      </c>
      <c r="G259" s="2">
        <v>15790</v>
      </c>
      <c r="H259" s="2">
        <v>14211</v>
      </c>
      <c r="I259" s="1">
        <v>43678</v>
      </c>
      <c r="J259" t="s">
        <v>27</v>
      </c>
      <c r="K259">
        <v>2019</v>
      </c>
      <c r="L259" s="2"/>
    </row>
    <row r="260" spans="1:12" x14ac:dyDescent="0.3">
      <c r="A260" t="s">
        <v>17</v>
      </c>
      <c r="B260" t="s">
        <v>12</v>
      </c>
      <c r="C260" t="s">
        <v>7</v>
      </c>
      <c r="D260" s="2">
        <v>107625</v>
      </c>
      <c r="E260" s="2">
        <v>5381.25</v>
      </c>
      <c r="F260" s="2">
        <v>102243.75</v>
      </c>
      <c r="G260" s="2">
        <v>103320</v>
      </c>
      <c r="H260" s="2">
        <v>-1076.25</v>
      </c>
      <c r="I260" s="1">
        <v>43739</v>
      </c>
      <c r="J260" t="s">
        <v>29</v>
      </c>
      <c r="K260">
        <v>2019</v>
      </c>
      <c r="L260" s="2"/>
    </row>
    <row r="261" spans="1:12" x14ac:dyDescent="0.3">
      <c r="A261" t="s">
        <v>17</v>
      </c>
      <c r="B261" t="s">
        <v>33</v>
      </c>
      <c r="C261" t="s">
        <v>7</v>
      </c>
      <c r="D261" s="2">
        <v>88000</v>
      </c>
      <c r="E261" s="2">
        <v>4400</v>
      </c>
      <c r="F261" s="2">
        <v>83600</v>
      </c>
      <c r="G261" s="2">
        <v>84480</v>
      </c>
      <c r="H261" s="2">
        <v>-880</v>
      </c>
      <c r="I261" s="1">
        <v>43374</v>
      </c>
      <c r="J261" t="s">
        <v>29</v>
      </c>
      <c r="K261">
        <v>2018</v>
      </c>
      <c r="L261" s="2"/>
    </row>
    <row r="262" spans="1:12" x14ac:dyDescent="0.3">
      <c r="A262" t="s">
        <v>3</v>
      </c>
      <c r="B262" t="s">
        <v>33</v>
      </c>
      <c r="C262" t="s">
        <v>7</v>
      </c>
      <c r="D262" s="2">
        <v>20660</v>
      </c>
      <c r="E262" s="2">
        <v>1033</v>
      </c>
      <c r="F262" s="2">
        <v>19627</v>
      </c>
      <c r="G262" s="2">
        <v>10330</v>
      </c>
      <c r="H262" s="2">
        <v>9297</v>
      </c>
      <c r="I262" s="1">
        <v>43435</v>
      </c>
      <c r="J262" t="s">
        <v>24</v>
      </c>
      <c r="K262">
        <v>2018</v>
      </c>
      <c r="L262" s="2"/>
    </row>
    <row r="263" spans="1:12" x14ac:dyDescent="0.3">
      <c r="A263" t="s">
        <v>13</v>
      </c>
      <c r="B263" t="s">
        <v>11</v>
      </c>
      <c r="C263" t="s">
        <v>7</v>
      </c>
      <c r="D263" s="2">
        <v>375000</v>
      </c>
      <c r="E263" s="2">
        <v>18750</v>
      </c>
      <c r="F263" s="2">
        <v>356250</v>
      </c>
      <c r="G263" s="2">
        <v>312500</v>
      </c>
      <c r="H263" s="2">
        <v>43750</v>
      </c>
      <c r="I263" s="1">
        <v>43800</v>
      </c>
      <c r="J263" t="s">
        <v>24</v>
      </c>
      <c r="K263">
        <v>2019</v>
      </c>
      <c r="L263" s="2"/>
    </row>
    <row r="264" spans="1:12" x14ac:dyDescent="0.3">
      <c r="A264" t="s">
        <v>3</v>
      </c>
      <c r="B264" t="s">
        <v>10</v>
      </c>
      <c r="C264" t="s">
        <v>8</v>
      </c>
      <c r="D264" s="2">
        <v>27780</v>
      </c>
      <c r="E264" s="2">
        <v>1389</v>
      </c>
      <c r="F264" s="2">
        <v>26391</v>
      </c>
      <c r="G264" s="2">
        <v>13890</v>
      </c>
      <c r="H264" s="2">
        <v>12501</v>
      </c>
      <c r="I264" s="1">
        <v>43374</v>
      </c>
      <c r="J264" t="s">
        <v>29</v>
      </c>
      <c r="K264">
        <v>2018</v>
      </c>
      <c r="L264" s="2"/>
    </row>
    <row r="265" spans="1:12" x14ac:dyDescent="0.3">
      <c r="A265" t="s">
        <v>3</v>
      </c>
      <c r="B265" t="s">
        <v>12</v>
      </c>
      <c r="C265" t="s">
        <v>8</v>
      </c>
      <c r="D265" s="2">
        <v>25300</v>
      </c>
      <c r="E265" s="2">
        <v>1265</v>
      </c>
      <c r="F265" s="2">
        <v>24035</v>
      </c>
      <c r="G265" s="2">
        <v>12650</v>
      </c>
      <c r="H265" s="2">
        <v>11385</v>
      </c>
      <c r="I265" s="1">
        <v>43405</v>
      </c>
      <c r="J265" t="s">
        <v>30</v>
      </c>
      <c r="K265">
        <v>2018</v>
      </c>
      <c r="L265" s="2"/>
    </row>
    <row r="266" spans="1:12" x14ac:dyDescent="0.3">
      <c r="A266" t="s">
        <v>3</v>
      </c>
      <c r="B266" t="s">
        <v>11</v>
      </c>
      <c r="C266" t="s">
        <v>8</v>
      </c>
      <c r="D266" s="2">
        <v>45940</v>
      </c>
      <c r="E266" s="2">
        <v>2297</v>
      </c>
      <c r="F266" s="2">
        <v>43643</v>
      </c>
      <c r="G266" s="2">
        <v>22970</v>
      </c>
      <c r="H266" s="2">
        <v>20673</v>
      </c>
      <c r="I266" s="1">
        <v>43405</v>
      </c>
      <c r="J266" t="s">
        <v>30</v>
      </c>
      <c r="K266">
        <v>2018</v>
      </c>
      <c r="L266" s="2"/>
    </row>
    <row r="267" spans="1:12" x14ac:dyDescent="0.3">
      <c r="A267" t="s">
        <v>3</v>
      </c>
      <c r="B267" t="s">
        <v>12</v>
      </c>
      <c r="C267" t="s">
        <v>8</v>
      </c>
      <c r="D267" s="2">
        <v>53260</v>
      </c>
      <c r="E267" s="2">
        <v>2663</v>
      </c>
      <c r="F267" s="2">
        <v>50597</v>
      </c>
      <c r="G267" s="2">
        <v>26630</v>
      </c>
      <c r="H267" s="2">
        <v>23967</v>
      </c>
      <c r="I267" s="1">
        <v>43800</v>
      </c>
      <c r="J267" t="s">
        <v>24</v>
      </c>
      <c r="K267">
        <v>2019</v>
      </c>
      <c r="L267" s="2"/>
    </row>
    <row r="268" spans="1:12" x14ac:dyDescent="0.3">
      <c r="A268" t="s">
        <v>3</v>
      </c>
      <c r="B268" t="s">
        <v>12</v>
      </c>
      <c r="C268" t="s">
        <v>8</v>
      </c>
      <c r="D268" s="2">
        <v>3990</v>
      </c>
      <c r="E268" s="2">
        <v>199.5</v>
      </c>
      <c r="F268" s="2">
        <v>3790.5</v>
      </c>
      <c r="G268" s="2">
        <v>2850</v>
      </c>
      <c r="H268" s="2">
        <v>940.5</v>
      </c>
      <c r="I268" s="1">
        <v>43800</v>
      </c>
      <c r="J268" t="s">
        <v>24</v>
      </c>
      <c r="K268">
        <v>2019</v>
      </c>
      <c r="L268" s="2"/>
    </row>
    <row r="269" spans="1:12" x14ac:dyDescent="0.3">
      <c r="A269" t="s">
        <v>3</v>
      </c>
      <c r="B269" t="s">
        <v>33</v>
      </c>
      <c r="C269" t="s">
        <v>8</v>
      </c>
      <c r="D269" s="2">
        <v>17409</v>
      </c>
      <c r="E269" s="2">
        <v>870.45</v>
      </c>
      <c r="F269" s="2">
        <v>16538.55</v>
      </c>
      <c r="G269" s="2">
        <v>12435</v>
      </c>
      <c r="H269" s="2">
        <v>4103.5499999999993</v>
      </c>
      <c r="I269" s="1">
        <v>43800</v>
      </c>
      <c r="J269" t="s">
        <v>24</v>
      </c>
      <c r="K269">
        <v>2019</v>
      </c>
      <c r="L269" s="2"/>
    </row>
    <row r="270" spans="1:12" x14ac:dyDescent="0.3">
      <c r="A270" t="s">
        <v>3</v>
      </c>
      <c r="B270" t="s">
        <v>11</v>
      </c>
      <c r="C270" t="s">
        <v>9</v>
      </c>
      <c r="D270" s="2">
        <v>472500</v>
      </c>
      <c r="E270" s="2">
        <v>23625</v>
      </c>
      <c r="F270" s="2">
        <v>448875</v>
      </c>
      <c r="G270" s="2">
        <v>351000</v>
      </c>
      <c r="H270" s="2">
        <v>97875</v>
      </c>
      <c r="I270" s="1">
        <v>43497</v>
      </c>
      <c r="J270" t="s">
        <v>22</v>
      </c>
      <c r="K270">
        <v>2019</v>
      </c>
      <c r="L270" s="2"/>
    </row>
    <row r="271" spans="1:12" x14ac:dyDescent="0.3">
      <c r="A271" t="s">
        <v>3</v>
      </c>
      <c r="B271" t="s">
        <v>10</v>
      </c>
      <c r="C271" t="s">
        <v>9</v>
      </c>
      <c r="D271" s="2">
        <v>193200</v>
      </c>
      <c r="E271" s="2">
        <v>9660</v>
      </c>
      <c r="F271" s="2">
        <v>183540</v>
      </c>
      <c r="G271" s="2">
        <v>143520</v>
      </c>
      <c r="H271" s="2">
        <v>40020</v>
      </c>
      <c r="I271" s="1">
        <v>43678</v>
      </c>
      <c r="J271" t="s">
        <v>27</v>
      </c>
      <c r="K271">
        <v>2019</v>
      </c>
      <c r="L271" s="2"/>
    </row>
    <row r="272" spans="1:12" x14ac:dyDescent="0.3">
      <c r="A272" t="s">
        <v>3</v>
      </c>
      <c r="B272" t="s">
        <v>10</v>
      </c>
      <c r="C272" t="s">
        <v>9</v>
      </c>
      <c r="D272" s="2">
        <v>429800</v>
      </c>
      <c r="E272" s="2">
        <v>21490</v>
      </c>
      <c r="F272" s="2">
        <v>408310</v>
      </c>
      <c r="G272" s="2">
        <v>319280</v>
      </c>
      <c r="H272" s="2">
        <v>89030</v>
      </c>
      <c r="I272" s="1">
        <v>43374</v>
      </c>
      <c r="J272" t="s">
        <v>29</v>
      </c>
      <c r="K272">
        <v>2018</v>
      </c>
      <c r="L272" s="2"/>
    </row>
    <row r="273" spans="1:12" x14ac:dyDescent="0.3">
      <c r="A273" t="s">
        <v>13</v>
      </c>
      <c r="B273" t="s">
        <v>11</v>
      </c>
      <c r="C273" t="s">
        <v>9</v>
      </c>
      <c r="D273" s="2">
        <v>375000</v>
      </c>
      <c r="E273" s="2">
        <v>18750</v>
      </c>
      <c r="F273" s="2">
        <v>356250</v>
      </c>
      <c r="G273" s="2">
        <v>312500</v>
      </c>
      <c r="H273" s="2">
        <v>43750</v>
      </c>
      <c r="I273" s="1">
        <v>43800</v>
      </c>
      <c r="J273" t="s">
        <v>24</v>
      </c>
      <c r="K273">
        <v>2019</v>
      </c>
      <c r="L273" s="2"/>
    </row>
    <row r="274" spans="1:12" x14ac:dyDescent="0.3">
      <c r="A274" t="s">
        <v>16</v>
      </c>
      <c r="B274" t="s">
        <v>33</v>
      </c>
      <c r="C274" t="s">
        <v>6</v>
      </c>
      <c r="D274" s="2">
        <v>57015</v>
      </c>
      <c r="E274" s="2">
        <v>3420.8999999999996</v>
      </c>
      <c r="F274" s="2">
        <v>53594.100000000006</v>
      </c>
      <c r="G274" s="2">
        <v>38010</v>
      </c>
      <c r="H274" s="2">
        <v>15584.100000000006</v>
      </c>
      <c r="I274" s="1">
        <v>43556</v>
      </c>
      <c r="J274" t="s">
        <v>38</v>
      </c>
      <c r="K274">
        <v>2019</v>
      </c>
      <c r="L274" s="2"/>
    </row>
    <row r="275" spans="1:12" x14ac:dyDescent="0.3">
      <c r="A275" t="s">
        <v>3</v>
      </c>
      <c r="B275" t="s">
        <v>12</v>
      </c>
      <c r="C275" t="s">
        <v>2</v>
      </c>
      <c r="D275" s="2">
        <v>22350</v>
      </c>
      <c r="E275" s="2">
        <v>1341</v>
      </c>
      <c r="F275" s="2">
        <v>21009</v>
      </c>
      <c r="G275" s="2">
        <v>12292.500000000002</v>
      </c>
      <c r="H275" s="2">
        <v>8716.4999999999982</v>
      </c>
      <c r="I275" s="1">
        <v>43466</v>
      </c>
      <c r="J275" t="s">
        <v>21</v>
      </c>
      <c r="K275">
        <v>2019</v>
      </c>
      <c r="L275" s="2"/>
    </row>
    <row r="276" spans="1:12" x14ac:dyDescent="0.3">
      <c r="A276" t="s">
        <v>16</v>
      </c>
      <c r="B276" t="s">
        <v>10</v>
      </c>
      <c r="C276" t="s">
        <v>2</v>
      </c>
      <c r="D276" s="2">
        <v>42660</v>
      </c>
      <c r="E276" s="2">
        <v>2559.6</v>
      </c>
      <c r="F276" s="2">
        <v>40100.400000000001</v>
      </c>
      <c r="G276" s="2">
        <v>31284.000000000004</v>
      </c>
      <c r="H276" s="2">
        <v>8816.3999999999978</v>
      </c>
      <c r="I276" s="1">
        <v>43617</v>
      </c>
      <c r="J276" t="s">
        <v>23</v>
      </c>
      <c r="K276">
        <v>2019</v>
      </c>
      <c r="L276" s="2"/>
    </row>
    <row r="277" spans="1:12" x14ac:dyDescent="0.3">
      <c r="A277" t="s">
        <v>14</v>
      </c>
      <c r="B277" t="s">
        <v>32</v>
      </c>
      <c r="C277" t="s">
        <v>2</v>
      </c>
      <c r="D277" s="2">
        <v>6744</v>
      </c>
      <c r="E277" s="2">
        <v>404.64</v>
      </c>
      <c r="F277" s="2">
        <v>6339.36</v>
      </c>
      <c r="G277" s="2">
        <v>1854.6000000000001</v>
      </c>
      <c r="H277" s="2">
        <v>4484.7599999999993</v>
      </c>
      <c r="I277" s="1">
        <v>43709</v>
      </c>
      <c r="J277" t="s">
        <v>28</v>
      </c>
      <c r="K277">
        <v>2019</v>
      </c>
      <c r="L277" s="2"/>
    </row>
    <row r="278" spans="1:12" x14ac:dyDescent="0.3">
      <c r="A278" t="s">
        <v>14</v>
      </c>
      <c r="B278" t="s">
        <v>10</v>
      </c>
      <c r="C278" t="s">
        <v>2</v>
      </c>
      <c r="D278" s="2">
        <v>27588</v>
      </c>
      <c r="E278" s="2">
        <v>1655.28</v>
      </c>
      <c r="F278" s="2">
        <v>25932.720000000001</v>
      </c>
      <c r="G278" s="2">
        <v>7586.7000000000007</v>
      </c>
      <c r="H278" s="2">
        <v>18346.02</v>
      </c>
      <c r="I278" s="1">
        <v>43374</v>
      </c>
      <c r="J278" t="s">
        <v>29</v>
      </c>
      <c r="K278">
        <v>2018</v>
      </c>
      <c r="L278" s="2"/>
    </row>
    <row r="279" spans="1:12" x14ac:dyDescent="0.3">
      <c r="A279" t="s">
        <v>16</v>
      </c>
      <c r="B279" t="s">
        <v>12</v>
      </c>
      <c r="C279" t="s">
        <v>2</v>
      </c>
      <c r="D279" s="2">
        <v>30450</v>
      </c>
      <c r="E279" s="2">
        <v>1827</v>
      </c>
      <c r="F279" s="2">
        <v>28623</v>
      </c>
      <c r="G279" s="2">
        <v>22330</v>
      </c>
      <c r="H279" s="2">
        <v>6293</v>
      </c>
      <c r="I279" s="1">
        <v>43770</v>
      </c>
      <c r="J279" t="s">
        <v>30</v>
      </c>
      <c r="K279">
        <v>2019</v>
      </c>
      <c r="L279" s="2"/>
    </row>
    <row r="280" spans="1:12" x14ac:dyDescent="0.3">
      <c r="A280" t="s">
        <v>3</v>
      </c>
      <c r="B280" t="s">
        <v>12</v>
      </c>
      <c r="C280" t="s">
        <v>2</v>
      </c>
      <c r="D280" s="2">
        <v>1841</v>
      </c>
      <c r="E280" s="2">
        <v>110.46</v>
      </c>
      <c r="F280" s="2">
        <v>1730.54</v>
      </c>
      <c r="G280" s="2">
        <v>1446.5000000000002</v>
      </c>
      <c r="H280" s="2">
        <v>284.03999999999974</v>
      </c>
      <c r="I280" s="1">
        <v>43405</v>
      </c>
      <c r="J280" t="s">
        <v>30</v>
      </c>
      <c r="K280">
        <v>2018</v>
      </c>
      <c r="L280" s="2"/>
    </row>
    <row r="281" spans="1:12" x14ac:dyDescent="0.3">
      <c r="A281" t="s">
        <v>17</v>
      </c>
      <c r="B281" t="s">
        <v>11</v>
      </c>
      <c r="C281" t="s">
        <v>2</v>
      </c>
      <c r="D281" s="2">
        <v>110875</v>
      </c>
      <c r="E281" s="2">
        <v>6652.5</v>
      </c>
      <c r="F281" s="2">
        <v>104222.5</v>
      </c>
      <c r="G281" s="2">
        <v>117084.00000000001</v>
      </c>
      <c r="H281" s="2">
        <v>-12861.500000000015</v>
      </c>
      <c r="I281" s="1">
        <v>43435</v>
      </c>
      <c r="J281" t="s">
        <v>24</v>
      </c>
      <c r="K281">
        <v>2018</v>
      </c>
      <c r="L281" s="2"/>
    </row>
    <row r="282" spans="1:12" x14ac:dyDescent="0.3">
      <c r="A282" t="s">
        <v>3</v>
      </c>
      <c r="B282" t="s">
        <v>32</v>
      </c>
      <c r="C282" t="s">
        <v>5</v>
      </c>
      <c r="D282" s="2">
        <v>343000</v>
      </c>
      <c r="E282" s="2">
        <v>20580</v>
      </c>
      <c r="F282" s="2">
        <v>322420</v>
      </c>
      <c r="G282" s="2">
        <v>254800</v>
      </c>
      <c r="H282" s="2">
        <v>67620</v>
      </c>
      <c r="I282" s="1">
        <v>43556</v>
      </c>
      <c r="J282" t="s">
        <v>38</v>
      </c>
      <c r="K282">
        <v>2019</v>
      </c>
      <c r="L282" s="2"/>
    </row>
    <row r="283" spans="1:12" x14ac:dyDescent="0.3">
      <c r="A283" t="s">
        <v>3</v>
      </c>
      <c r="B283" t="s">
        <v>11</v>
      </c>
      <c r="C283" t="s">
        <v>5</v>
      </c>
      <c r="D283" s="2">
        <v>511000</v>
      </c>
      <c r="E283" s="2">
        <v>30660</v>
      </c>
      <c r="F283" s="2">
        <v>480340</v>
      </c>
      <c r="G283" s="2">
        <v>379600</v>
      </c>
      <c r="H283" s="2">
        <v>100740</v>
      </c>
      <c r="I283" s="1">
        <v>43586</v>
      </c>
      <c r="J283" t="s">
        <v>31</v>
      </c>
      <c r="K283">
        <v>2019</v>
      </c>
      <c r="L283" s="2"/>
    </row>
    <row r="284" spans="1:12" x14ac:dyDescent="0.3">
      <c r="A284" t="s">
        <v>3</v>
      </c>
      <c r="B284" t="s">
        <v>33</v>
      </c>
      <c r="C284" t="s">
        <v>5</v>
      </c>
      <c r="D284" s="2">
        <v>9821</v>
      </c>
      <c r="E284" s="2">
        <v>589.26</v>
      </c>
      <c r="F284" s="2">
        <v>9231.74</v>
      </c>
      <c r="G284" s="2">
        <v>7015</v>
      </c>
      <c r="H284" s="2">
        <v>2216.7399999999998</v>
      </c>
      <c r="I284" s="1">
        <v>43374</v>
      </c>
      <c r="J284" t="s">
        <v>29</v>
      </c>
      <c r="K284">
        <v>2018</v>
      </c>
      <c r="L284" s="2"/>
    </row>
    <row r="285" spans="1:12" x14ac:dyDescent="0.3">
      <c r="A285" t="s">
        <v>14</v>
      </c>
      <c r="B285" t="s">
        <v>12</v>
      </c>
      <c r="C285" t="s">
        <v>5</v>
      </c>
      <c r="D285" s="2">
        <v>32676</v>
      </c>
      <c r="E285" s="2">
        <v>1960.56</v>
      </c>
      <c r="F285" s="2">
        <v>30715.439999999999</v>
      </c>
      <c r="G285" s="2">
        <v>8169</v>
      </c>
      <c r="H285" s="2">
        <v>22546.44</v>
      </c>
      <c r="I285" s="1">
        <v>43770</v>
      </c>
      <c r="J285" t="s">
        <v>30</v>
      </c>
      <c r="K285">
        <v>2019</v>
      </c>
      <c r="L285" s="2"/>
    </row>
    <row r="286" spans="1:12" x14ac:dyDescent="0.3">
      <c r="A286" t="s">
        <v>3</v>
      </c>
      <c r="B286" t="s">
        <v>33</v>
      </c>
      <c r="C286" t="s">
        <v>6</v>
      </c>
      <c r="D286" s="2">
        <v>523600</v>
      </c>
      <c r="E286" s="2">
        <v>31416</v>
      </c>
      <c r="F286" s="2">
        <v>492184</v>
      </c>
      <c r="G286" s="2">
        <v>388960</v>
      </c>
      <c r="H286" s="2">
        <v>103224</v>
      </c>
      <c r="I286" s="1">
        <v>43617</v>
      </c>
      <c r="J286" t="s">
        <v>23</v>
      </c>
      <c r="K286">
        <v>2019</v>
      </c>
      <c r="L286" s="2"/>
    </row>
    <row r="287" spans="1:12" x14ac:dyDescent="0.3">
      <c r="A287" t="s">
        <v>14</v>
      </c>
      <c r="B287" t="s">
        <v>10</v>
      </c>
      <c r="C287" t="s">
        <v>6</v>
      </c>
      <c r="D287" s="2">
        <v>27588</v>
      </c>
      <c r="E287" s="2">
        <v>1655.28</v>
      </c>
      <c r="F287" s="2">
        <v>25932.720000000001</v>
      </c>
      <c r="G287" s="2">
        <v>6897</v>
      </c>
      <c r="H287" s="2">
        <v>19035.72</v>
      </c>
      <c r="I287" s="1">
        <v>43374</v>
      </c>
      <c r="J287" t="s">
        <v>29</v>
      </c>
      <c r="K287">
        <v>2018</v>
      </c>
      <c r="L287" s="2"/>
    </row>
    <row r="288" spans="1:12" x14ac:dyDescent="0.3">
      <c r="A288" t="s">
        <v>3</v>
      </c>
      <c r="B288" t="s">
        <v>12</v>
      </c>
      <c r="C288" t="s">
        <v>6</v>
      </c>
      <c r="D288" s="2">
        <v>254450</v>
      </c>
      <c r="E288" s="2">
        <v>15267</v>
      </c>
      <c r="F288" s="2">
        <v>239183</v>
      </c>
      <c r="G288" s="2">
        <v>189020</v>
      </c>
      <c r="H288" s="2">
        <v>50163</v>
      </c>
      <c r="I288" s="1">
        <v>43374</v>
      </c>
      <c r="J288" t="s">
        <v>29</v>
      </c>
      <c r="K288">
        <v>2018</v>
      </c>
      <c r="L288" s="2"/>
    </row>
    <row r="289" spans="1:12" x14ac:dyDescent="0.3">
      <c r="A289" t="s">
        <v>17</v>
      </c>
      <c r="B289" t="s">
        <v>10</v>
      </c>
      <c r="C289" t="s">
        <v>7</v>
      </c>
      <c r="D289" s="2">
        <v>119000</v>
      </c>
      <c r="E289" s="2">
        <v>7140</v>
      </c>
      <c r="F289" s="2">
        <v>111860</v>
      </c>
      <c r="G289" s="2">
        <v>114240</v>
      </c>
      <c r="H289" s="2">
        <v>-2380</v>
      </c>
      <c r="I289" s="1">
        <v>43497</v>
      </c>
      <c r="J289" t="s">
        <v>22</v>
      </c>
      <c r="K289">
        <v>2019</v>
      </c>
      <c r="L289" s="2"/>
    </row>
    <row r="290" spans="1:12" x14ac:dyDescent="0.3">
      <c r="A290" t="s">
        <v>17</v>
      </c>
      <c r="B290" t="s">
        <v>12</v>
      </c>
      <c r="C290" t="s">
        <v>7</v>
      </c>
      <c r="D290" s="2">
        <v>344375</v>
      </c>
      <c r="E290" s="2">
        <v>20662.5</v>
      </c>
      <c r="F290" s="2">
        <v>323712.5</v>
      </c>
      <c r="G290" s="2">
        <v>330600</v>
      </c>
      <c r="H290" s="2">
        <v>-6887.5</v>
      </c>
      <c r="I290" s="1">
        <v>43497</v>
      </c>
      <c r="J290" t="s">
        <v>22</v>
      </c>
      <c r="K290">
        <v>2019</v>
      </c>
      <c r="L290" s="2"/>
    </row>
    <row r="291" spans="1:12" x14ac:dyDescent="0.3">
      <c r="A291" t="s">
        <v>16</v>
      </c>
      <c r="B291" t="s">
        <v>11</v>
      </c>
      <c r="C291" t="s">
        <v>7</v>
      </c>
      <c r="D291" s="2">
        <v>22950</v>
      </c>
      <c r="E291" s="2">
        <v>1377</v>
      </c>
      <c r="F291" s="2">
        <v>21573</v>
      </c>
      <c r="G291" s="2">
        <v>15300</v>
      </c>
      <c r="H291" s="2">
        <v>6273</v>
      </c>
      <c r="I291" s="1">
        <v>43586</v>
      </c>
      <c r="J291" t="s">
        <v>31</v>
      </c>
      <c r="K291">
        <v>2019</v>
      </c>
      <c r="L291" s="2"/>
    </row>
    <row r="292" spans="1:12" x14ac:dyDescent="0.3">
      <c r="A292" t="s">
        <v>3</v>
      </c>
      <c r="B292" t="s">
        <v>33</v>
      </c>
      <c r="C292" t="s">
        <v>7</v>
      </c>
      <c r="D292" s="2">
        <v>523600</v>
      </c>
      <c r="E292" s="2">
        <v>31416</v>
      </c>
      <c r="F292" s="2">
        <v>492184</v>
      </c>
      <c r="G292" s="2">
        <v>388960</v>
      </c>
      <c r="H292" s="2">
        <v>103224</v>
      </c>
      <c r="I292" s="1">
        <v>43617</v>
      </c>
      <c r="J292" t="s">
        <v>23</v>
      </c>
      <c r="K292">
        <v>2019</v>
      </c>
      <c r="L292" s="2"/>
    </row>
    <row r="293" spans="1:12" x14ac:dyDescent="0.3">
      <c r="A293" t="s">
        <v>3</v>
      </c>
      <c r="B293" t="s">
        <v>32</v>
      </c>
      <c r="C293" t="s">
        <v>7</v>
      </c>
      <c r="D293" s="2">
        <v>10486</v>
      </c>
      <c r="E293" s="2">
        <v>629.16</v>
      </c>
      <c r="F293" s="2">
        <v>9856.84</v>
      </c>
      <c r="G293" s="2">
        <v>7490</v>
      </c>
      <c r="H293" s="2">
        <v>2366.84</v>
      </c>
      <c r="I293" s="1">
        <v>43617</v>
      </c>
      <c r="J293" t="s">
        <v>23</v>
      </c>
      <c r="K293">
        <v>2019</v>
      </c>
      <c r="L293" s="2"/>
    </row>
    <row r="294" spans="1:12" x14ac:dyDescent="0.3">
      <c r="A294" t="s">
        <v>13</v>
      </c>
      <c r="B294" t="s">
        <v>33</v>
      </c>
      <c r="C294" t="s">
        <v>7</v>
      </c>
      <c r="D294" s="2">
        <v>366300</v>
      </c>
      <c r="E294" s="2">
        <v>21978</v>
      </c>
      <c r="F294" s="2">
        <v>344322</v>
      </c>
      <c r="G294" s="2">
        <v>305250</v>
      </c>
      <c r="H294" s="2">
        <v>39072</v>
      </c>
      <c r="I294" s="1">
        <v>43374</v>
      </c>
      <c r="J294" t="s">
        <v>29</v>
      </c>
      <c r="K294">
        <v>2018</v>
      </c>
      <c r="L294" s="2"/>
    </row>
    <row r="295" spans="1:12" x14ac:dyDescent="0.3">
      <c r="A295" t="s">
        <v>3</v>
      </c>
      <c r="B295" t="s">
        <v>33</v>
      </c>
      <c r="C295" t="s">
        <v>7</v>
      </c>
      <c r="D295" s="2">
        <v>726600</v>
      </c>
      <c r="E295" s="2">
        <v>43596</v>
      </c>
      <c r="F295" s="2">
        <v>683004</v>
      </c>
      <c r="G295" s="2">
        <v>539760</v>
      </c>
      <c r="H295" s="2">
        <v>143244</v>
      </c>
      <c r="I295" s="1">
        <v>43374</v>
      </c>
      <c r="J295" t="s">
        <v>29</v>
      </c>
      <c r="K295">
        <v>2018</v>
      </c>
      <c r="L295" s="2"/>
    </row>
    <row r="296" spans="1:12" x14ac:dyDescent="0.3">
      <c r="A296" t="s">
        <v>16</v>
      </c>
      <c r="B296" t="s">
        <v>10</v>
      </c>
      <c r="C296" t="s">
        <v>8</v>
      </c>
      <c r="D296" s="2">
        <v>42660</v>
      </c>
      <c r="E296" s="2">
        <v>2559.6</v>
      </c>
      <c r="F296" s="2">
        <v>40100.400000000001</v>
      </c>
      <c r="G296" s="2">
        <v>28440</v>
      </c>
      <c r="H296" s="2">
        <v>11660.400000000001</v>
      </c>
      <c r="I296" s="1">
        <v>43617</v>
      </c>
      <c r="J296" t="s">
        <v>23</v>
      </c>
      <c r="K296">
        <v>2019</v>
      </c>
      <c r="L296" s="2"/>
    </row>
    <row r="297" spans="1:12" x14ac:dyDescent="0.3">
      <c r="A297" t="s">
        <v>3</v>
      </c>
      <c r="B297" t="s">
        <v>32</v>
      </c>
      <c r="C297" t="s">
        <v>8</v>
      </c>
      <c r="D297" s="2">
        <v>10486</v>
      </c>
      <c r="E297" s="2">
        <v>629.16</v>
      </c>
      <c r="F297" s="2">
        <v>9856.84</v>
      </c>
      <c r="G297" s="2">
        <v>7490</v>
      </c>
      <c r="H297" s="2">
        <v>2366.84</v>
      </c>
      <c r="I297" s="1">
        <v>43617</v>
      </c>
      <c r="J297" t="s">
        <v>23</v>
      </c>
      <c r="K297">
        <v>2019</v>
      </c>
      <c r="L297" s="2"/>
    </row>
    <row r="298" spans="1:12" x14ac:dyDescent="0.3">
      <c r="A298" t="s">
        <v>13</v>
      </c>
      <c r="B298" t="s">
        <v>33</v>
      </c>
      <c r="C298" t="s">
        <v>8</v>
      </c>
      <c r="D298" s="2">
        <v>366300</v>
      </c>
      <c r="E298" s="2">
        <v>21978</v>
      </c>
      <c r="F298" s="2">
        <v>344322</v>
      </c>
      <c r="G298" s="2">
        <v>305250</v>
      </c>
      <c r="H298" s="2">
        <v>39072</v>
      </c>
      <c r="I298" s="1">
        <v>43374</v>
      </c>
      <c r="J298" t="s">
        <v>29</v>
      </c>
      <c r="K298">
        <v>2018</v>
      </c>
      <c r="L298" s="2"/>
    </row>
    <row r="299" spans="1:12" x14ac:dyDescent="0.3">
      <c r="A299" t="s">
        <v>3</v>
      </c>
      <c r="B299" t="s">
        <v>32</v>
      </c>
      <c r="C299" t="s">
        <v>8</v>
      </c>
      <c r="D299" s="2">
        <v>22460</v>
      </c>
      <c r="E299" s="2">
        <v>1347.6</v>
      </c>
      <c r="F299" s="2">
        <v>21112.400000000001</v>
      </c>
      <c r="G299" s="2">
        <v>11230</v>
      </c>
      <c r="H299" s="2">
        <v>9882.4000000000015</v>
      </c>
      <c r="I299" s="1">
        <v>43405</v>
      </c>
      <c r="J299" t="s">
        <v>30</v>
      </c>
      <c r="K299">
        <v>2018</v>
      </c>
      <c r="L299" s="2"/>
    </row>
    <row r="300" spans="1:12" x14ac:dyDescent="0.3">
      <c r="A300" t="s">
        <v>13</v>
      </c>
      <c r="B300" t="s">
        <v>10</v>
      </c>
      <c r="C300" t="s">
        <v>8</v>
      </c>
      <c r="D300" s="2">
        <v>730800</v>
      </c>
      <c r="E300" s="2">
        <v>43848</v>
      </c>
      <c r="F300" s="2">
        <v>686952</v>
      </c>
      <c r="G300" s="2">
        <v>609000</v>
      </c>
      <c r="H300" s="2">
        <v>77952</v>
      </c>
      <c r="I300" s="1">
        <v>43435</v>
      </c>
      <c r="J300" t="s">
        <v>24</v>
      </c>
      <c r="K300">
        <v>2018</v>
      </c>
      <c r="L300" s="2"/>
    </row>
    <row r="301" spans="1:12" x14ac:dyDescent="0.3">
      <c r="A301" t="s">
        <v>17</v>
      </c>
      <c r="B301" t="s">
        <v>33</v>
      </c>
      <c r="C301" t="s">
        <v>9</v>
      </c>
      <c r="D301" s="2">
        <v>248437.5</v>
      </c>
      <c r="E301" s="2">
        <v>14906.25</v>
      </c>
      <c r="F301" s="2">
        <v>233531.25</v>
      </c>
      <c r="G301" s="2">
        <v>238500</v>
      </c>
      <c r="H301" s="2">
        <v>-4968.75</v>
      </c>
      <c r="I301" s="1">
        <v>43466</v>
      </c>
      <c r="J301" t="s">
        <v>21</v>
      </c>
      <c r="K301">
        <v>2019</v>
      </c>
      <c r="L301" s="2"/>
    </row>
    <row r="302" spans="1:12" x14ac:dyDescent="0.3">
      <c r="A302" t="s">
        <v>3</v>
      </c>
      <c r="B302" t="s">
        <v>32</v>
      </c>
      <c r="C302" t="s">
        <v>9</v>
      </c>
      <c r="D302" s="2">
        <v>587650</v>
      </c>
      <c r="E302" s="2">
        <v>35259</v>
      </c>
      <c r="F302" s="2">
        <v>552391</v>
      </c>
      <c r="G302" s="2">
        <v>436540</v>
      </c>
      <c r="H302" s="2">
        <v>115851</v>
      </c>
      <c r="I302" s="1">
        <v>43709</v>
      </c>
      <c r="J302" t="s">
        <v>28</v>
      </c>
      <c r="K302">
        <v>2019</v>
      </c>
      <c r="L302" s="2"/>
    </row>
    <row r="303" spans="1:12" x14ac:dyDescent="0.3">
      <c r="A303" t="s">
        <v>3</v>
      </c>
      <c r="B303" t="s">
        <v>12</v>
      </c>
      <c r="C303" t="s">
        <v>9</v>
      </c>
      <c r="D303" s="2">
        <v>254450</v>
      </c>
      <c r="E303" s="2">
        <v>15267</v>
      </c>
      <c r="F303" s="2">
        <v>239183</v>
      </c>
      <c r="G303" s="2">
        <v>189020</v>
      </c>
      <c r="H303" s="2">
        <v>50163</v>
      </c>
      <c r="I303" s="1">
        <v>43374</v>
      </c>
      <c r="J303" t="s">
        <v>29</v>
      </c>
      <c r="K303">
        <v>2018</v>
      </c>
      <c r="L303" s="2"/>
    </row>
    <row r="304" spans="1:12" x14ac:dyDescent="0.3">
      <c r="A304" t="s">
        <v>3</v>
      </c>
      <c r="B304" t="s">
        <v>33</v>
      </c>
      <c r="C304" t="s">
        <v>9</v>
      </c>
      <c r="D304" s="2">
        <v>9821</v>
      </c>
      <c r="E304" s="2">
        <v>589.26</v>
      </c>
      <c r="F304" s="2">
        <v>9231.74</v>
      </c>
      <c r="G304" s="2">
        <v>7015</v>
      </c>
      <c r="H304" s="2">
        <v>2216.7399999999998</v>
      </c>
      <c r="I304" s="1">
        <v>43374</v>
      </c>
      <c r="J304" t="s">
        <v>29</v>
      </c>
      <c r="K304">
        <v>2018</v>
      </c>
      <c r="L304" s="2"/>
    </row>
    <row r="305" spans="1:12" x14ac:dyDescent="0.3">
      <c r="A305" t="s">
        <v>3</v>
      </c>
      <c r="B305" t="s">
        <v>33</v>
      </c>
      <c r="C305" t="s">
        <v>9</v>
      </c>
      <c r="D305" s="2">
        <v>726600</v>
      </c>
      <c r="E305" s="2">
        <v>43596</v>
      </c>
      <c r="F305" s="2">
        <v>683004</v>
      </c>
      <c r="G305" s="2">
        <v>539760</v>
      </c>
      <c r="H305" s="2">
        <v>143244</v>
      </c>
      <c r="I305" s="1">
        <v>43374</v>
      </c>
      <c r="J305" t="s">
        <v>29</v>
      </c>
      <c r="K305">
        <v>2018</v>
      </c>
      <c r="L305" s="2"/>
    </row>
    <row r="306" spans="1:12" x14ac:dyDescent="0.3">
      <c r="A306" t="s">
        <v>3</v>
      </c>
      <c r="B306" t="s">
        <v>33</v>
      </c>
      <c r="C306" t="s">
        <v>5</v>
      </c>
      <c r="D306" s="2">
        <v>35140</v>
      </c>
      <c r="E306" s="2">
        <v>2108.4</v>
      </c>
      <c r="F306" s="2">
        <v>33031.599999999999</v>
      </c>
      <c r="G306" s="2">
        <v>17570</v>
      </c>
      <c r="H306" s="2">
        <v>15461.599999999999</v>
      </c>
      <c r="I306" s="1">
        <v>43374</v>
      </c>
      <c r="J306" t="s">
        <v>29</v>
      </c>
      <c r="K306">
        <v>2018</v>
      </c>
      <c r="L306" s="2"/>
    </row>
    <row r="307" spans="1:12" x14ac:dyDescent="0.3">
      <c r="A307" t="s">
        <v>16</v>
      </c>
      <c r="B307" t="s">
        <v>12</v>
      </c>
      <c r="C307" t="s">
        <v>6</v>
      </c>
      <c r="D307" s="2">
        <v>32970</v>
      </c>
      <c r="E307" s="2">
        <v>1978.2</v>
      </c>
      <c r="F307" s="2">
        <v>30991.8</v>
      </c>
      <c r="G307" s="2">
        <v>21980</v>
      </c>
      <c r="H307" s="2">
        <v>9011.7999999999993</v>
      </c>
      <c r="I307" s="1">
        <v>43678</v>
      </c>
      <c r="J307" t="s">
        <v>27</v>
      </c>
      <c r="K307">
        <v>2019</v>
      </c>
      <c r="L307" s="2"/>
    </row>
    <row r="308" spans="1:12" x14ac:dyDescent="0.3">
      <c r="A308" t="s">
        <v>16</v>
      </c>
      <c r="B308" t="s">
        <v>11</v>
      </c>
      <c r="C308" t="s">
        <v>6</v>
      </c>
      <c r="D308" s="2">
        <v>26145</v>
      </c>
      <c r="E308" s="2">
        <v>1568.7</v>
      </c>
      <c r="F308" s="2">
        <v>24576.3</v>
      </c>
      <c r="G308" s="2">
        <v>17430</v>
      </c>
      <c r="H308" s="2">
        <v>7146.2999999999993</v>
      </c>
      <c r="I308" s="1">
        <v>43678</v>
      </c>
      <c r="J308" t="s">
        <v>27</v>
      </c>
      <c r="K308">
        <v>2019</v>
      </c>
      <c r="L308" s="2"/>
    </row>
    <row r="309" spans="1:12" x14ac:dyDescent="0.3">
      <c r="A309" t="s">
        <v>16</v>
      </c>
      <c r="B309" t="s">
        <v>12</v>
      </c>
      <c r="C309" t="s">
        <v>6</v>
      </c>
      <c r="D309" s="2">
        <v>17295</v>
      </c>
      <c r="E309" s="2">
        <v>1037.7</v>
      </c>
      <c r="F309" s="2">
        <v>16257.3</v>
      </c>
      <c r="G309" s="2">
        <v>11530</v>
      </c>
      <c r="H309" s="2">
        <v>4727.2999999999993</v>
      </c>
      <c r="I309" s="1">
        <v>43739</v>
      </c>
      <c r="J309" t="s">
        <v>29</v>
      </c>
      <c r="K309">
        <v>2019</v>
      </c>
      <c r="L309" s="2"/>
    </row>
    <row r="310" spans="1:12" x14ac:dyDescent="0.3">
      <c r="A310" t="s">
        <v>3</v>
      </c>
      <c r="B310" t="s">
        <v>33</v>
      </c>
      <c r="C310" t="s">
        <v>6</v>
      </c>
      <c r="D310" s="2">
        <v>35140</v>
      </c>
      <c r="E310" s="2">
        <v>2108.4</v>
      </c>
      <c r="F310" s="2">
        <v>33031.599999999999</v>
      </c>
      <c r="G310" s="2">
        <v>17570</v>
      </c>
      <c r="H310" s="2">
        <v>15461.599999999999</v>
      </c>
      <c r="I310" s="1">
        <v>43374</v>
      </c>
      <c r="J310" t="s">
        <v>29</v>
      </c>
      <c r="K310">
        <v>2018</v>
      </c>
      <c r="L310" s="2"/>
    </row>
    <row r="311" spans="1:12" x14ac:dyDescent="0.3">
      <c r="A311" t="s">
        <v>3</v>
      </c>
      <c r="B311" t="s">
        <v>11</v>
      </c>
      <c r="C311" t="s">
        <v>7</v>
      </c>
      <c r="D311" s="2">
        <v>20020</v>
      </c>
      <c r="E311" s="2">
        <v>1201.2</v>
      </c>
      <c r="F311" s="2">
        <v>18818.8</v>
      </c>
      <c r="G311" s="2">
        <v>10010</v>
      </c>
      <c r="H311" s="2">
        <v>8808.7999999999993</v>
      </c>
      <c r="I311" s="1">
        <v>43678</v>
      </c>
      <c r="J311" t="s">
        <v>27</v>
      </c>
      <c r="K311">
        <v>2019</v>
      </c>
      <c r="L311" s="2"/>
    </row>
    <row r="312" spans="1:12" x14ac:dyDescent="0.3">
      <c r="A312" t="s">
        <v>3</v>
      </c>
      <c r="B312" t="s">
        <v>32</v>
      </c>
      <c r="C312" t="s">
        <v>7</v>
      </c>
      <c r="D312" s="2">
        <v>9331</v>
      </c>
      <c r="E312" s="2">
        <v>559.86</v>
      </c>
      <c r="F312" s="2">
        <v>8771.14</v>
      </c>
      <c r="G312" s="2">
        <v>6665</v>
      </c>
      <c r="H312" s="2">
        <v>2106.1399999999994</v>
      </c>
      <c r="I312" s="1">
        <v>43770</v>
      </c>
      <c r="J312" t="s">
        <v>30</v>
      </c>
      <c r="K312">
        <v>2019</v>
      </c>
      <c r="L312" s="2"/>
    </row>
    <row r="313" spans="1:12" x14ac:dyDescent="0.3">
      <c r="A313" t="s">
        <v>16</v>
      </c>
      <c r="B313" t="s">
        <v>12</v>
      </c>
      <c r="C313" t="s">
        <v>8</v>
      </c>
      <c r="D313" s="2">
        <v>17295</v>
      </c>
      <c r="E313" s="2">
        <v>1037.7</v>
      </c>
      <c r="F313" s="2">
        <v>16257.3</v>
      </c>
      <c r="G313" s="2">
        <v>11530</v>
      </c>
      <c r="H313" s="2">
        <v>4727.2999999999993</v>
      </c>
      <c r="I313" s="1">
        <v>43739</v>
      </c>
      <c r="J313" t="s">
        <v>29</v>
      </c>
      <c r="K313">
        <v>2019</v>
      </c>
      <c r="L313" s="2"/>
    </row>
    <row r="314" spans="1:12" x14ac:dyDescent="0.3">
      <c r="A314" t="s">
        <v>14</v>
      </c>
      <c r="B314" t="s">
        <v>32</v>
      </c>
      <c r="C314" t="s">
        <v>2</v>
      </c>
      <c r="D314" s="2">
        <v>8724</v>
      </c>
      <c r="E314" s="2">
        <v>610.67999999999995</v>
      </c>
      <c r="F314" s="2">
        <v>8113.32</v>
      </c>
      <c r="G314" s="2">
        <v>2399.1000000000004</v>
      </c>
      <c r="H314" s="2">
        <v>5714.2199999999993</v>
      </c>
      <c r="I314" s="1">
        <v>43497</v>
      </c>
      <c r="J314" t="s">
        <v>22</v>
      </c>
      <c r="K314">
        <v>2019</v>
      </c>
      <c r="L314" s="2"/>
    </row>
    <row r="315" spans="1:12" x14ac:dyDescent="0.3">
      <c r="A315" t="s">
        <v>14</v>
      </c>
      <c r="B315" t="s">
        <v>10</v>
      </c>
      <c r="C315" t="s">
        <v>2</v>
      </c>
      <c r="D315" s="2">
        <v>22608</v>
      </c>
      <c r="E315" s="2">
        <v>1582.56</v>
      </c>
      <c r="F315" s="2">
        <v>21025.439999999999</v>
      </c>
      <c r="G315" s="2">
        <v>6217.2000000000007</v>
      </c>
      <c r="H315" s="2">
        <v>14808.239999999998</v>
      </c>
      <c r="I315" s="1">
        <v>43678</v>
      </c>
      <c r="J315" t="s">
        <v>27</v>
      </c>
      <c r="K315">
        <v>2019</v>
      </c>
      <c r="L315" s="2"/>
    </row>
    <row r="316" spans="1:12" x14ac:dyDescent="0.3">
      <c r="A316" t="s">
        <v>3</v>
      </c>
      <c r="B316" t="s">
        <v>32</v>
      </c>
      <c r="C316" t="s">
        <v>2</v>
      </c>
      <c r="D316" s="2">
        <v>36680</v>
      </c>
      <c r="E316" s="2">
        <v>2567.6</v>
      </c>
      <c r="F316" s="2">
        <v>34112.400000000001</v>
      </c>
      <c r="G316" s="2">
        <v>20174</v>
      </c>
      <c r="H316" s="2">
        <v>13938.400000000001</v>
      </c>
      <c r="I316" s="1">
        <v>43344</v>
      </c>
      <c r="J316" t="s">
        <v>28</v>
      </c>
      <c r="K316">
        <v>2018</v>
      </c>
      <c r="L316" s="2"/>
    </row>
    <row r="317" spans="1:12" x14ac:dyDescent="0.3">
      <c r="A317" t="s">
        <v>14</v>
      </c>
      <c r="B317" t="s">
        <v>32</v>
      </c>
      <c r="C317" t="s">
        <v>5</v>
      </c>
      <c r="D317" s="2">
        <v>28080</v>
      </c>
      <c r="E317" s="2">
        <v>1965.6</v>
      </c>
      <c r="F317" s="2">
        <v>26114.400000000001</v>
      </c>
      <c r="G317" s="2">
        <v>7020</v>
      </c>
      <c r="H317" s="2">
        <v>19094.400000000001</v>
      </c>
      <c r="I317" s="1">
        <v>43466</v>
      </c>
      <c r="J317" t="s">
        <v>21</v>
      </c>
      <c r="K317">
        <v>2019</v>
      </c>
      <c r="L317" s="2"/>
    </row>
    <row r="318" spans="1:12" x14ac:dyDescent="0.3">
      <c r="A318" t="s">
        <v>14</v>
      </c>
      <c r="B318" t="s">
        <v>33</v>
      </c>
      <c r="C318" t="s">
        <v>5</v>
      </c>
      <c r="D318" s="2">
        <v>28104</v>
      </c>
      <c r="E318" s="2">
        <v>1967.28</v>
      </c>
      <c r="F318" s="2">
        <v>26136.720000000001</v>
      </c>
      <c r="G318" s="2">
        <v>7026</v>
      </c>
      <c r="H318" s="2">
        <v>19110.72</v>
      </c>
      <c r="I318" s="1">
        <v>43770</v>
      </c>
      <c r="J318" t="s">
        <v>30</v>
      </c>
      <c r="K318">
        <v>2019</v>
      </c>
      <c r="L318" s="2"/>
    </row>
    <row r="319" spans="1:12" x14ac:dyDescent="0.3">
      <c r="A319" t="s">
        <v>3</v>
      </c>
      <c r="B319" t="s">
        <v>33</v>
      </c>
      <c r="C319" t="s">
        <v>6</v>
      </c>
      <c r="D319" s="2">
        <v>7217</v>
      </c>
      <c r="E319" s="2">
        <v>505.19</v>
      </c>
      <c r="F319" s="2">
        <v>6711.81</v>
      </c>
      <c r="G319" s="2">
        <v>5155</v>
      </c>
      <c r="H319" s="2">
        <v>1556.8100000000004</v>
      </c>
      <c r="I319" s="1">
        <v>43344</v>
      </c>
      <c r="J319" t="s">
        <v>28</v>
      </c>
      <c r="K319">
        <v>2018</v>
      </c>
      <c r="L319" s="2"/>
    </row>
    <row r="320" spans="1:12" x14ac:dyDescent="0.3">
      <c r="A320" t="s">
        <v>16</v>
      </c>
      <c r="B320" t="s">
        <v>10</v>
      </c>
      <c r="C320" t="s">
        <v>7</v>
      </c>
      <c r="D320" s="2">
        <v>18930</v>
      </c>
      <c r="E320" s="2">
        <v>1325.1</v>
      </c>
      <c r="F320" s="2">
        <v>17604.900000000001</v>
      </c>
      <c r="G320" s="2">
        <v>12620</v>
      </c>
      <c r="H320" s="2">
        <v>4984.9000000000015</v>
      </c>
      <c r="I320" s="1">
        <v>43586</v>
      </c>
      <c r="J320" t="s">
        <v>31</v>
      </c>
      <c r="K320">
        <v>2019</v>
      </c>
      <c r="L320" s="2"/>
    </row>
    <row r="321" spans="1:12" x14ac:dyDescent="0.3">
      <c r="A321" t="s">
        <v>3</v>
      </c>
      <c r="B321" t="s">
        <v>10</v>
      </c>
      <c r="C321" t="s">
        <v>7</v>
      </c>
      <c r="D321" s="2">
        <v>7945</v>
      </c>
      <c r="E321" s="2">
        <v>556.15</v>
      </c>
      <c r="F321" s="2">
        <v>7388.85</v>
      </c>
      <c r="G321" s="2">
        <v>5675</v>
      </c>
      <c r="H321" s="2">
        <v>1713.8500000000004</v>
      </c>
      <c r="I321" s="1">
        <v>43617</v>
      </c>
      <c r="J321" t="s">
        <v>23</v>
      </c>
      <c r="K321">
        <v>2019</v>
      </c>
      <c r="L321" s="2"/>
    </row>
    <row r="322" spans="1:12" x14ac:dyDescent="0.3">
      <c r="A322" t="s">
        <v>3</v>
      </c>
      <c r="B322" t="s">
        <v>12</v>
      </c>
      <c r="C322" t="s">
        <v>7</v>
      </c>
      <c r="D322" s="2">
        <v>3829</v>
      </c>
      <c r="E322" s="2">
        <v>268.02999999999997</v>
      </c>
      <c r="F322" s="2">
        <v>3560.9700000000003</v>
      </c>
      <c r="G322" s="2">
        <v>2735</v>
      </c>
      <c r="H322" s="2">
        <v>825.97000000000025</v>
      </c>
      <c r="I322" s="1">
        <v>43770</v>
      </c>
      <c r="J322" t="s">
        <v>30</v>
      </c>
      <c r="K322">
        <v>2019</v>
      </c>
      <c r="L322" s="2"/>
    </row>
    <row r="323" spans="1:12" x14ac:dyDescent="0.3">
      <c r="A323" t="s">
        <v>3</v>
      </c>
      <c r="B323" t="s">
        <v>10</v>
      </c>
      <c r="C323" t="s">
        <v>7</v>
      </c>
      <c r="D323" s="2">
        <v>11074</v>
      </c>
      <c r="E323" s="2">
        <v>775.18</v>
      </c>
      <c r="F323" s="2">
        <v>10298.82</v>
      </c>
      <c r="G323" s="2">
        <v>7910</v>
      </c>
      <c r="H323" s="2">
        <v>2388.8199999999997</v>
      </c>
      <c r="I323" s="1">
        <v>43800</v>
      </c>
      <c r="J323" t="s">
        <v>24</v>
      </c>
      <c r="K323">
        <v>2019</v>
      </c>
      <c r="L323" s="2"/>
    </row>
    <row r="324" spans="1:12" x14ac:dyDescent="0.3">
      <c r="A324" t="s">
        <v>14</v>
      </c>
      <c r="B324" t="s">
        <v>33</v>
      </c>
      <c r="C324" t="s">
        <v>8</v>
      </c>
      <c r="D324" s="2">
        <v>20862</v>
      </c>
      <c r="E324" s="2">
        <v>1460.34</v>
      </c>
      <c r="F324" s="2">
        <v>19401.66</v>
      </c>
      <c r="G324" s="2">
        <v>5215.5</v>
      </c>
      <c r="H324" s="2">
        <v>14186.16</v>
      </c>
      <c r="I324" s="1">
        <v>43556</v>
      </c>
      <c r="J324" t="s">
        <v>38</v>
      </c>
      <c r="K324">
        <v>2019</v>
      </c>
      <c r="L324" s="2"/>
    </row>
    <row r="325" spans="1:12" x14ac:dyDescent="0.3">
      <c r="A325" t="s">
        <v>14</v>
      </c>
      <c r="B325" t="s">
        <v>11</v>
      </c>
      <c r="C325" t="s">
        <v>8</v>
      </c>
      <c r="D325" s="2">
        <v>26580</v>
      </c>
      <c r="E325" s="2">
        <v>1860.6</v>
      </c>
      <c r="F325" s="2">
        <v>24719.4</v>
      </c>
      <c r="G325" s="2">
        <v>6645</v>
      </c>
      <c r="H325" s="2">
        <v>18074.400000000001</v>
      </c>
      <c r="I325" s="1">
        <v>43344</v>
      </c>
      <c r="J325" t="s">
        <v>28</v>
      </c>
      <c r="K325">
        <v>2018</v>
      </c>
      <c r="L325" s="2"/>
    </row>
    <row r="326" spans="1:12" x14ac:dyDescent="0.3">
      <c r="A326" t="s">
        <v>3</v>
      </c>
      <c r="B326" t="s">
        <v>10</v>
      </c>
      <c r="C326" t="s">
        <v>8</v>
      </c>
      <c r="D326" s="2">
        <v>11074</v>
      </c>
      <c r="E326" s="2">
        <v>775.18</v>
      </c>
      <c r="F326" s="2">
        <v>10298.82</v>
      </c>
      <c r="G326" s="2">
        <v>7910</v>
      </c>
      <c r="H326" s="2">
        <v>2388.8199999999997</v>
      </c>
      <c r="I326" s="1">
        <v>43800</v>
      </c>
      <c r="J326" t="s">
        <v>24</v>
      </c>
      <c r="K326">
        <v>2019</v>
      </c>
      <c r="L326" s="2"/>
    </row>
    <row r="327" spans="1:12" x14ac:dyDescent="0.3">
      <c r="A327" t="s">
        <v>3</v>
      </c>
      <c r="B327" t="s">
        <v>10</v>
      </c>
      <c r="C327" t="s">
        <v>9</v>
      </c>
      <c r="D327" s="2">
        <v>7945</v>
      </c>
      <c r="E327" s="2">
        <v>556.15</v>
      </c>
      <c r="F327" s="2">
        <v>7388.85</v>
      </c>
      <c r="G327" s="2">
        <v>5675</v>
      </c>
      <c r="H327" s="2">
        <v>1713.8500000000004</v>
      </c>
      <c r="I327" s="1">
        <v>43617</v>
      </c>
      <c r="J327" t="s">
        <v>23</v>
      </c>
      <c r="K327">
        <v>2019</v>
      </c>
      <c r="L327" s="2"/>
    </row>
    <row r="328" spans="1:12" x14ac:dyDescent="0.3">
      <c r="A328" t="s">
        <v>3</v>
      </c>
      <c r="B328" t="s">
        <v>12</v>
      </c>
      <c r="C328" t="s">
        <v>2</v>
      </c>
      <c r="D328" s="2">
        <v>616350</v>
      </c>
      <c r="E328" s="2">
        <v>43144.5</v>
      </c>
      <c r="F328" s="2">
        <v>573205.5</v>
      </c>
      <c r="G328" s="2">
        <v>503646.00000000006</v>
      </c>
      <c r="H328" s="2">
        <v>69559.499999999942</v>
      </c>
      <c r="I328" s="1">
        <v>43525</v>
      </c>
      <c r="J328" t="s">
        <v>25</v>
      </c>
      <c r="K328">
        <v>2019</v>
      </c>
      <c r="L328" s="2"/>
    </row>
    <row r="329" spans="1:12" x14ac:dyDescent="0.3">
      <c r="A329" t="s">
        <v>13</v>
      </c>
      <c r="B329" t="s">
        <v>33</v>
      </c>
      <c r="C329" t="s">
        <v>2</v>
      </c>
      <c r="D329" s="2">
        <v>134400</v>
      </c>
      <c r="E329" s="2">
        <v>9408</v>
      </c>
      <c r="F329" s="2">
        <v>124992</v>
      </c>
      <c r="G329" s="2">
        <v>123200.00000000001</v>
      </c>
      <c r="H329" s="2">
        <v>1791.9999999999854</v>
      </c>
      <c r="I329" s="1">
        <v>43617</v>
      </c>
      <c r="J329" t="s">
        <v>23</v>
      </c>
      <c r="K329">
        <v>2019</v>
      </c>
      <c r="L329" s="2"/>
    </row>
    <row r="330" spans="1:12" x14ac:dyDescent="0.3">
      <c r="A330" t="s">
        <v>13</v>
      </c>
      <c r="B330" t="s">
        <v>33</v>
      </c>
      <c r="C330" t="s">
        <v>2</v>
      </c>
      <c r="D330" s="2">
        <v>654300</v>
      </c>
      <c r="E330" s="2">
        <v>45801</v>
      </c>
      <c r="F330" s="2">
        <v>608499</v>
      </c>
      <c r="G330" s="2">
        <v>599775</v>
      </c>
      <c r="H330" s="2">
        <v>8724</v>
      </c>
      <c r="I330" s="1">
        <v>43739</v>
      </c>
      <c r="J330" t="s">
        <v>29</v>
      </c>
      <c r="K330">
        <v>2019</v>
      </c>
      <c r="L330" s="2"/>
    </row>
    <row r="331" spans="1:12" x14ac:dyDescent="0.3">
      <c r="A331" t="s">
        <v>3</v>
      </c>
      <c r="B331" t="s">
        <v>33</v>
      </c>
      <c r="C331" t="s">
        <v>5</v>
      </c>
      <c r="D331" s="2">
        <v>39520</v>
      </c>
      <c r="E331" s="2">
        <v>2766.4</v>
      </c>
      <c r="F331" s="2">
        <v>36753.599999999999</v>
      </c>
      <c r="G331" s="2">
        <v>19760</v>
      </c>
      <c r="H331" s="2">
        <v>16993.599999999999</v>
      </c>
      <c r="I331" s="1">
        <v>43739</v>
      </c>
      <c r="J331" t="s">
        <v>29</v>
      </c>
      <c r="K331">
        <v>2019</v>
      </c>
      <c r="L331" s="2"/>
    </row>
    <row r="332" spans="1:12" x14ac:dyDescent="0.3">
      <c r="A332" t="s">
        <v>13</v>
      </c>
      <c r="B332" t="s">
        <v>33</v>
      </c>
      <c r="C332" t="s">
        <v>5</v>
      </c>
      <c r="D332" s="2">
        <v>654300</v>
      </c>
      <c r="E332" s="2">
        <v>45801</v>
      </c>
      <c r="F332" s="2">
        <v>608499</v>
      </c>
      <c r="G332" s="2">
        <v>545250</v>
      </c>
      <c r="H332" s="2">
        <v>63249</v>
      </c>
      <c r="I332" s="1">
        <v>43739</v>
      </c>
      <c r="J332" t="s">
        <v>29</v>
      </c>
      <c r="K332">
        <v>2019</v>
      </c>
      <c r="L332" s="2"/>
    </row>
    <row r="333" spans="1:12" x14ac:dyDescent="0.3">
      <c r="A333" t="s">
        <v>17</v>
      </c>
      <c r="B333" t="s">
        <v>11</v>
      </c>
      <c r="C333" t="s">
        <v>5</v>
      </c>
      <c r="D333" s="2">
        <v>312500</v>
      </c>
      <c r="E333" s="2">
        <v>21875</v>
      </c>
      <c r="F333" s="2">
        <v>290625</v>
      </c>
      <c r="G333" s="2">
        <v>300000</v>
      </c>
      <c r="H333" s="2">
        <v>-9375</v>
      </c>
      <c r="I333" s="1">
        <v>43405</v>
      </c>
      <c r="J333" t="s">
        <v>30</v>
      </c>
      <c r="K333">
        <v>2018</v>
      </c>
      <c r="L333" s="2"/>
    </row>
    <row r="334" spans="1:12" x14ac:dyDescent="0.3">
      <c r="A334" t="s">
        <v>13</v>
      </c>
      <c r="B334" t="s">
        <v>10</v>
      </c>
      <c r="C334" t="s">
        <v>6</v>
      </c>
      <c r="D334" s="2">
        <v>510600</v>
      </c>
      <c r="E334" s="2">
        <v>35742</v>
      </c>
      <c r="F334" s="2">
        <v>474858</v>
      </c>
      <c r="G334" s="2">
        <v>425500</v>
      </c>
      <c r="H334" s="2">
        <v>49358</v>
      </c>
      <c r="I334" s="1">
        <v>43586</v>
      </c>
      <c r="J334" t="s">
        <v>31</v>
      </c>
      <c r="K334">
        <v>2019</v>
      </c>
      <c r="L334" s="2"/>
    </row>
    <row r="335" spans="1:12" x14ac:dyDescent="0.3">
      <c r="A335" t="s">
        <v>13</v>
      </c>
      <c r="B335" t="s">
        <v>33</v>
      </c>
      <c r="C335" t="s">
        <v>6</v>
      </c>
      <c r="D335" s="2">
        <v>134400</v>
      </c>
      <c r="E335" s="2">
        <v>9408</v>
      </c>
      <c r="F335" s="2">
        <v>124992</v>
      </c>
      <c r="G335" s="2">
        <v>112000</v>
      </c>
      <c r="H335" s="2">
        <v>12992</v>
      </c>
      <c r="I335" s="1">
        <v>43617</v>
      </c>
      <c r="J335" t="s">
        <v>23</v>
      </c>
      <c r="K335">
        <v>2019</v>
      </c>
      <c r="L335" s="2"/>
    </row>
    <row r="336" spans="1:12" x14ac:dyDescent="0.3">
      <c r="A336" t="s">
        <v>17</v>
      </c>
      <c r="B336" t="s">
        <v>11</v>
      </c>
      <c r="C336" t="s">
        <v>6</v>
      </c>
      <c r="D336" s="2">
        <v>439125</v>
      </c>
      <c r="E336" s="2">
        <v>30738.75</v>
      </c>
      <c r="F336" s="2">
        <v>408386.25</v>
      </c>
      <c r="G336" s="2">
        <v>421560</v>
      </c>
      <c r="H336" s="2">
        <v>-13173.75</v>
      </c>
      <c r="I336" s="1">
        <v>43647</v>
      </c>
      <c r="J336" t="s">
        <v>26</v>
      </c>
      <c r="K336">
        <v>2019</v>
      </c>
      <c r="L336" s="2"/>
    </row>
    <row r="337" spans="1:12" x14ac:dyDescent="0.3">
      <c r="A337" t="s">
        <v>16</v>
      </c>
      <c r="B337" t="s">
        <v>33</v>
      </c>
      <c r="C337" t="s">
        <v>6</v>
      </c>
      <c r="D337" s="2">
        <v>31515</v>
      </c>
      <c r="E337" s="2">
        <v>2206.0500000000002</v>
      </c>
      <c r="F337" s="2">
        <v>29308.95</v>
      </c>
      <c r="G337" s="2">
        <v>21010</v>
      </c>
      <c r="H337" s="2">
        <v>8298.9500000000007</v>
      </c>
      <c r="I337" s="1">
        <v>43678</v>
      </c>
      <c r="J337" t="s">
        <v>27</v>
      </c>
      <c r="K337">
        <v>2019</v>
      </c>
      <c r="L337" s="2"/>
    </row>
    <row r="338" spans="1:12" x14ac:dyDescent="0.3">
      <c r="A338" t="s">
        <v>16</v>
      </c>
      <c r="B338" t="s">
        <v>12</v>
      </c>
      <c r="C338" t="s">
        <v>6</v>
      </c>
      <c r="D338" s="2">
        <v>43965</v>
      </c>
      <c r="E338" s="2">
        <v>3077.55</v>
      </c>
      <c r="F338" s="2">
        <v>40887.449999999997</v>
      </c>
      <c r="G338" s="2">
        <v>29310</v>
      </c>
      <c r="H338" s="2">
        <v>11577.449999999997</v>
      </c>
      <c r="I338" s="1">
        <v>43344</v>
      </c>
      <c r="J338" t="s">
        <v>28</v>
      </c>
      <c r="K338">
        <v>2018</v>
      </c>
      <c r="L338" s="2"/>
    </row>
    <row r="339" spans="1:12" x14ac:dyDescent="0.3">
      <c r="A339" t="s">
        <v>3</v>
      </c>
      <c r="B339" t="s">
        <v>33</v>
      </c>
      <c r="C339" t="s">
        <v>6</v>
      </c>
      <c r="D339" s="2">
        <v>30700</v>
      </c>
      <c r="E339" s="2">
        <v>2149</v>
      </c>
      <c r="F339" s="2">
        <v>28551</v>
      </c>
      <c r="G339" s="2">
        <v>15350</v>
      </c>
      <c r="H339" s="2">
        <v>13201</v>
      </c>
      <c r="I339" s="1">
        <v>43709</v>
      </c>
      <c r="J339" t="s">
        <v>28</v>
      </c>
      <c r="K339">
        <v>2019</v>
      </c>
      <c r="L339" s="2"/>
    </row>
    <row r="340" spans="1:12" x14ac:dyDescent="0.3">
      <c r="A340" t="s">
        <v>13</v>
      </c>
      <c r="B340" t="s">
        <v>11</v>
      </c>
      <c r="C340" t="s">
        <v>6</v>
      </c>
      <c r="D340" s="2">
        <v>336900</v>
      </c>
      <c r="E340" s="2">
        <v>23583</v>
      </c>
      <c r="F340" s="2">
        <v>313317</v>
      </c>
      <c r="G340" s="2">
        <v>280750</v>
      </c>
      <c r="H340" s="2">
        <v>32567</v>
      </c>
      <c r="I340" s="1">
        <v>43344</v>
      </c>
      <c r="J340" t="s">
        <v>28</v>
      </c>
      <c r="K340">
        <v>2018</v>
      </c>
      <c r="L340" s="2"/>
    </row>
    <row r="341" spans="1:12" x14ac:dyDescent="0.3">
      <c r="A341" t="s">
        <v>13</v>
      </c>
      <c r="B341" t="s">
        <v>10</v>
      </c>
      <c r="C341" t="s">
        <v>6</v>
      </c>
      <c r="D341" s="2">
        <v>421200</v>
      </c>
      <c r="E341" s="2">
        <v>29484</v>
      </c>
      <c r="F341" s="2">
        <v>391716</v>
      </c>
      <c r="G341" s="2">
        <v>351000</v>
      </c>
      <c r="H341" s="2">
        <v>40716</v>
      </c>
      <c r="I341" s="1">
        <v>43405</v>
      </c>
      <c r="J341" t="s">
        <v>30</v>
      </c>
      <c r="K341">
        <v>2018</v>
      </c>
      <c r="L341" s="2"/>
    </row>
    <row r="342" spans="1:12" x14ac:dyDescent="0.3">
      <c r="A342" t="s">
        <v>14</v>
      </c>
      <c r="B342" t="s">
        <v>32</v>
      </c>
      <c r="C342" t="s">
        <v>6</v>
      </c>
      <c r="D342" s="2">
        <v>33156</v>
      </c>
      <c r="E342" s="2">
        <v>2320.92</v>
      </c>
      <c r="F342" s="2">
        <v>30835.08</v>
      </c>
      <c r="G342" s="2">
        <v>8289</v>
      </c>
      <c r="H342" s="2">
        <v>22546.080000000002</v>
      </c>
      <c r="I342" s="1">
        <v>43405</v>
      </c>
      <c r="J342" t="s">
        <v>30</v>
      </c>
      <c r="K342">
        <v>2018</v>
      </c>
      <c r="L342" s="2"/>
    </row>
    <row r="343" spans="1:12" x14ac:dyDescent="0.3">
      <c r="A343" t="s">
        <v>3</v>
      </c>
      <c r="B343" t="s">
        <v>11</v>
      </c>
      <c r="C343" t="s">
        <v>6</v>
      </c>
      <c r="D343" s="2">
        <v>14875</v>
      </c>
      <c r="E343" s="2">
        <v>1041.25</v>
      </c>
      <c r="F343" s="2">
        <v>13833.75</v>
      </c>
      <c r="G343" s="2">
        <v>10625</v>
      </c>
      <c r="H343" s="2">
        <v>3208.75</v>
      </c>
      <c r="I343" s="1">
        <v>43435</v>
      </c>
      <c r="J343" t="s">
        <v>24</v>
      </c>
      <c r="K343">
        <v>2018</v>
      </c>
      <c r="L343" s="2"/>
    </row>
    <row r="344" spans="1:12" x14ac:dyDescent="0.3">
      <c r="A344" t="s">
        <v>13</v>
      </c>
      <c r="B344" t="s">
        <v>33</v>
      </c>
      <c r="C344" t="s">
        <v>7</v>
      </c>
      <c r="D344" s="2">
        <v>497700</v>
      </c>
      <c r="E344" s="2">
        <v>34839</v>
      </c>
      <c r="F344" s="2">
        <v>462861</v>
      </c>
      <c r="G344" s="2">
        <v>414750</v>
      </c>
      <c r="H344" s="2">
        <v>48111</v>
      </c>
      <c r="I344" s="1">
        <v>43647</v>
      </c>
      <c r="J344" t="s">
        <v>26</v>
      </c>
      <c r="K344">
        <v>2019</v>
      </c>
      <c r="L344" s="2"/>
    </row>
    <row r="345" spans="1:12" x14ac:dyDescent="0.3">
      <c r="A345" t="s">
        <v>3</v>
      </c>
      <c r="B345" t="s">
        <v>32</v>
      </c>
      <c r="C345" t="s">
        <v>7</v>
      </c>
      <c r="D345" s="2">
        <v>12180</v>
      </c>
      <c r="E345" s="2">
        <v>852.6</v>
      </c>
      <c r="F345" s="2">
        <v>11327.4</v>
      </c>
      <c r="G345" s="2">
        <v>6090</v>
      </c>
      <c r="H345" s="2">
        <v>5237.3999999999996</v>
      </c>
      <c r="I345" s="1">
        <v>43678</v>
      </c>
      <c r="J345" t="s">
        <v>27</v>
      </c>
      <c r="K345">
        <v>2019</v>
      </c>
      <c r="L345" s="2"/>
    </row>
    <row r="346" spans="1:12" x14ac:dyDescent="0.3">
      <c r="A346" t="s">
        <v>17</v>
      </c>
      <c r="B346" t="s">
        <v>11</v>
      </c>
      <c r="C346" t="s">
        <v>7</v>
      </c>
      <c r="D346" s="2">
        <v>260875</v>
      </c>
      <c r="E346" s="2">
        <v>18261.25</v>
      </c>
      <c r="F346" s="2">
        <v>242613.75</v>
      </c>
      <c r="G346" s="2">
        <v>250440</v>
      </c>
      <c r="H346" s="2">
        <v>-7826.25</v>
      </c>
      <c r="I346" s="1">
        <v>43709</v>
      </c>
      <c r="J346" t="s">
        <v>28</v>
      </c>
      <c r="K346">
        <v>2019</v>
      </c>
      <c r="L346" s="2"/>
    </row>
    <row r="347" spans="1:12" x14ac:dyDescent="0.3">
      <c r="A347" t="s">
        <v>3</v>
      </c>
      <c r="B347" t="s">
        <v>33</v>
      </c>
      <c r="C347" t="s">
        <v>7</v>
      </c>
      <c r="D347" s="2">
        <v>39520</v>
      </c>
      <c r="E347" s="2">
        <v>2766.4</v>
      </c>
      <c r="F347" s="2">
        <v>36753.599999999999</v>
      </c>
      <c r="G347" s="2">
        <v>19760</v>
      </c>
      <c r="H347" s="2">
        <v>16993.599999999999</v>
      </c>
      <c r="I347" s="1">
        <v>43739</v>
      </c>
      <c r="J347" t="s">
        <v>29</v>
      </c>
      <c r="K347">
        <v>2019</v>
      </c>
      <c r="L347" s="2"/>
    </row>
    <row r="348" spans="1:12" x14ac:dyDescent="0.3">
      <c r="A348" t="s">
        <v>3</v>
      </c>
      <c r="B348" t="s">
        <v>12</v>
      </c>
      <c r="C348" t="s">
        <v>7</v>
      </c>
      <c r="D348" s="2">
        <v>28420</v>
      </c>
      <c r="E348" s="2">
        <v>1989.4</v>
      </c>
      <c r="F348" s="2">
        <v>26430.6</v>
      </c>
      <c r="G348" s="2">
        <v>14210</v>
      </c>
      <c r="H348" s="2">
        <v>12220.599999999999</v>
      </c>
      <c r="I348" s="1">
        <v>43435</v>
      </c>
      <c r="J348" t="s">
        <v>24</v>
      </c>
      <c r="K348">
        <v>2018</v>
      </c>
      <c r="L348" s="2"/>
    </row>
    <row r="349" spans="1:12" x14ac:dyDescent="0.3">
      <c r="A349" t="s">
        <v>13</v>
      </c>
      <c r="B349" t="s">
        <v>12</v>
      </c>
      <c r="C349" t="s">
        <v>7</v>
      </c>
      <c r="D349" s="2">
        <v>411600</v>
      </c>
      <c r="E349" s="2">
        <v>28812</v>
      </c>
      <c r="F349" s="2">
        <v>382788</v>
      </c>
      <c r="G349" s="2">
        <v>343000</v>
      </c>
      <c r="H349" s="2">
        <v>39788</v>
      </c>
      <c r="I349" s="1">
        <v>43800</v>
      </c>
      <c r="J349" t="s">
        <v>24</v>
      </c>
      <c r="K349">
        <v>2019</v>
      </c>
      <c r="L349" s="2"/>
    </row>
    <row r="350" spans="1:12" x14ac:dyDescent="0.3">
      <c r="A350" t="s">
        <v>3</v>
      </c>
      <c r="B350" t="s">
        <v>11</v>
      </c>
      <c r="C350" t="s">
        <v>7</v>
      </c>
      <c r="D350" s="2">
        <v>11760</v>
      </c>
      <c r="E350" s="2">
        <v>823.2</v>
      </c>
      <c r="F350" s="2">
        <v>10936.8</v>
      </c>
      <c r="G350" s="2">
        <v>5880</v>
      </c>
      <c r="H350" s="2">
        <v>5056.7999999999993</v>
      </c>
      <c r="I350" s="1">
        <v>43435</v>
      </c>
      <c r="J350" t="s">
        <v>24</v>
      </c>
      <c r="K350">
        <v>2018</v>
      </c>
      <c r="L350" s="2"/>
    </row>
    <row r="351" spans="1:12" x14ac:dyDescent="0.3">
      <c r="A351" t="s">
        <v>14</v>
      </c>
      <c r="B351" t="s">
        <v>10</v>
      </c>
      <c r="C351" t="s">
        <v>8</v>
      </c>
      <c r="D351" s="2">
        <v>38934</v>
      </c>
      <c r="E351" s="2">
        <v>2725.38</v>
      </c>
      <c r="F351" s="2">
        <v>36208.620000000003</v>
      </c>
      <c r="G351" s="2">
        <v>9733.5</v>
      </c>
      <c r="H351" s="2">
        <v>26475.120000000003</v>
      </c>
      <c r="I351" s="1">
        <v>43466</v>
      </c>
      <c r="J351" t="s">
        <v>21</v>
      </c>
      <c r="K351">
        <v>2019</v>
      </c>
      <c r="L351" s="2"/>
    </row>
    <row r="352" spans="1:12" x14ac:dyDescent="0.3">
      <c r="A352" t="s">
        <v>13</v>
      </c>
      <c r="B352" t="s">
        <v>33</v>
      </c>
      <c r="C352" t="s">
        <v>8</v>
      </c>
      <c r="D352" s="2">
        <v>287700</v>
      </c>
      <c r="E352" s="2">
        <v>20139</v>
      </c>
      <c r="F352" s="2">
        <v>267561</v>
      </c>
      <c r="G352" s="2">
        <v>239750</v>
      </c>
      <c r="H352" s="2">
        <v>27811</v>
      </c>
      <c r="I352" s="1">
        <v>43497</v>
      </c>
      <c r="J352" t="s">
        <v>22</v>
      </c>
      <c r="K352">
        <v>2019</v>
      </c>
      <c r="L352" s="2"/>
    </row>
    <row r="353" spans="1:12" x14ac:dyDescent="0.3">
      <c r="A353" t="s">
        <v>13</v>
      </c>
      <c r="B353" t="s">
        <v>32</v>
      </c>
      <c r="C353" t="s">
        <v>8</v>
      </c>
      <c r="D353" s="2">
        <v>824100</v>
      </c>
      <c r="E353" s="2">
        <v>57687</v>
      </c>
      <c r="F353" s="2">
        <v>766413</v>
      </c>
      <c r="G353" s="2">
        <v>686750</v>
      </c>
      <c r="H353" s="2">
        <v>79663</v>
      </c>
      <c r="I353" s="1">
        <v>43497</v>
      </c>
      <c r="J353" t="s">
        <v>22</v>
      </c>
      <c r="K353">
        <v>2019</v>
      </c>
      <c r="L353" s="2"/>
    </row>
    <row r="354" spans="1:12" x14ac:dyDescent="0.3">
      <c r="A354" t="s">
        <v>17</v>
      </c>
      <c r="B354" t="s">
        <v>10</v>
      </c>
      <c r="C354" t="s">
        <v>9</v>
      </c>
      <c r="D354" s="2">
        <v>205625</v>
      </c>
      <c r="E354" s="2">
        <v>14393.75</v>
      </c>
      <c r="F354" s="2">
        <v>191231.25</v>
      </c>
      <c r="G354" s="2">
        <v>197400</v>
      </c>
      <c r="H354" s="2">
        <v>-6168.75</v>
      </c>
      <c r="I354" s="1">
        <v>43586</v>
      </c>
      <c r="J354" t="s">
        <v>31</v>
      </c>
      <c r="K354">
        <v>2019</v>
      </c>
      <c r="L354" s="2"/>
    </row>
    <row r="355" spans="1:12" x14ac:dyDescent="0.3">
      <c r="A355" t="s">
        <v>3</v>
      </c>
      <c r="B355" t="s">
        <v>33</v>
      </c>
      <c r="C355" t="s">
        <v>9</v>
      </c>
      <c r="D355" s="2">
        <v>1006600</v>
      </c>
      <c r="E355" s="2">
        <v>70462</v>
      </c>
      <c r="F355" s="2">
        <v>936138</v>
      </c>
      <c r="G355" s="2">
        <v>747760</v>
      </c>
      <c r="H355" s="2">
        <v>188378</v>
      </c>
      <c r="I355" s="1">
        <v>43709</v>
      </c>
      <c r="J355" t="s">
        <v>28</v>
      </c>
      <c r="K355">
        <v>2019</v>
      </c>
      <c r="L355" s="2"/>
    </row>
    <row r="356" spans="1:12" x14ac:dyDescent="0.3">
      <c r="A356" t="s">
        <v>17</v>
      </c>
      <c r="B356" t="s">
        <v>11</v>
      </c>
      <c r="C356" t="s">
        <v>9</v>
      </c>
      <c r="D356" s="2">
        <v>124250</v>
      </c>
      <c r="E356" s="2">
        <v>8697.5</v>
      </c>
      <c r="F356" s="2">
        <v>115552.5</v>
      </c>
      <c r="G356" s="2">
        <v>119280</v>
      </c>
      <c r="H356" s="2">
        <v>-3727.5</v>
      </c>
      <c r="I356" s="1">
        <v>43344</v>
      </c>
      <c r="J356" t="s">
        <v>28</v>
      </c>
      <c r="K356">
        <v>2018</v>
      </c>
      <c r="L356" s="2"/>
    </row>
    <row r="357" spans="1:12" x14ac:dyDescent="0.3">
      <c r="A357" t="s">
        <v>3</v>
      </c>
      <c r="B357" t="s">
        <v>10</v>
      </c>
      <c r="C357" t="s">
        <v>9</v>
      </c>
      <c r="D357" s="2">
        <v>22360</v>
      </c>
      <c r="E357" s="2">
        <v>1565.2</v>
      </c>
      <c r="F357" s="2">
        <v>20794.8</v>
      </c>
      <c r="G357" s="2">
        <v>11180</v>
      </c>
      <c r="H357" s="2">
        <v>9614.7999999999993</v>
      </c>
      <c r="I357" s="1">
        <v>43770</v>
      </c>
      <c r="J357" t="s">
        <v>30</v>
      </c>
      <c r="K357">
        <v>2019</v>
      </c>
      <c r="L357" s="2"/>
    </row>
    <row r="358" spans="1:12" x14ac:dyDescent="0.3">
      <c r="A358" t="s">
        <v>13</v>
      </c>
      <c r="B358" t="s">
        <v>12</v>
      </c>
      <c r="C358" t="s">
        <v>9</v>
      </c>
      <c r="D358" s="2">
        <v>411600</v>
      </c>
      <c r="E358" s="2">
        <v>28812</v>
      </c>
      <c r="F358" s="2">
        <v>382788</v>
      </c>
      <c r="G358" s="2">
        <v>343000</v>
      </c>
      <c r="H358" s="2">
        <v>39788</v>
      </c>
      <c r="I358" s="1">
        <v>43800</v>
      </c>
      <c r="J358" t="s">
        <v>24</v>
      </c>
      <c r="K358">
        <v>2019</v>
      </c>
      <c r="L358" s="2"/>
    </row>
    <row r="359" spans="1:12" x14ac:dyDescent="0.3">
      <c r="A359" t="s">
        <v>3</v>
      </c>
      <c r="B359" t="s">
        <v>10</v>
      </c>
      <c r="C359" t="s">
        <v>5</v>
      </c>
      <c r="D359" s="2">
        <v>3416</v>
      </c>
      <c r="E359" s="2">
        <v>273.27999999999997</v>
      </c>
      <c r="F359" s="2">
        <v>3142.7200000000003</v>
      </c>
      <c r="G359" s="2">
        <v>2440</v>
      </c>
      <c r="H359" s="2">
        <v>702.72000000000025</v>
      </c>
      <c r="I359" s="1">
        <v>43497</v>
      </c>
      <c r="J359" t="s">
        <v>22</v>
      </c>
      <c r="K359">
        <v>2019</v>
      </c>
      <c r="L359" s="2"/>
    </row>
    <row r="360" spans="1:12" x14ac:dyDescent="0.3">
      <c r="A360" t="s">
        <v>3</v>
      </c>
      <c r="B360" t="s">
        <v>12</v>
      </c>
      <c r="C360" t="s">
        <v>5</v>
      </c>
      <c r="D360" s="2">
        <v>25640</v>
      </c>
      <c r="E360" s="2">
        <v>2051.1999999999998</v>
      </c>
      <c r="F360" s="2">
        <v>23588.799999999999</v>
      </c>
      <c r="G360" s="2">
        <v>12820</v>
      </c>
      <c r="H360" s="2">
        <v>10768.8</v>
      </c>
      <c r="I360" s="1">
        <v>43617</v>
      </c>
      <c r="J360" t="s">
        <v>23</v>
      </c>
      <c r="K360">
        <v>2019</v>
      </c>
      <c r="L360" s="2"/>
    </row>
    <row r="361" spans="1:12" x14ac:dyDescent="0.3">
      <c r="A361" t="s">
        <v>3</v>
      </c>
      <c r="B361" t="s">
        <v>10</v>
      </c>
      <c r="C361" t="s">
        <v>6</v>
      </c>
      <c r="D361" s="2">
        <v>1799</v>
      </c>
      <c r="E361" s="2">
        <v>143.91999999999999</v>
      </c>
      <c r="F361" s="2">
        <v>1655.08</v>
      </c>
      <c r="G361" s="2">
        <v>1285</v>
      </c>
      <c r="H361" s="2">
        <v>370.07999999999993</v>
      </c>
      <c r="I361" s="1">
        <v>43586</v>
      </c>
      <c r="J361" t="s">
        <v>31</v>
      </c>
      <c r="K361">
        <v>2019</v>
      </c>
      <c r="L361" s="2"/>
    </row>
    <row r="362" spans="1:12" x14ac:dyDescent="0.3">
      <c r="A362" t="s">
        <v>3</v>
      </c>
      <c r="B362" t="s">
        <v>12</v>
      </c>
      <c r="C362" t="s">
        <v>9</v>
      </c>
      <c r="D362" s="2">
        <v>25640</v>
      </c>
      <c r="E362" s="2">
        <v>2051.1999999999998</v>
      </c>
      <c r="F362" s="2">
        <v>23588.799999999999</v>
      </c>
      <c r="G362" s="2">
        <v>12820</v>
      </c>
      <c r="H362" s="2">
        <v>10768.8</v>
      </c>
      <c r="I362" s="1">
        <v>43617</v>
      </c>
      <c r="J362" t="s">
        <v>23</v>
      </c>
      <c r="K362">
        <v>2019</v>
      </c>
      <c r="L362" s="2"/>
    </row>
    <row r="363" spans="1:12" x14ac:dyDescent="0.3">
      <c r="A363" t="s">
        <v>17</v>
      </c>
      <c r="B363" t="s">
        <v>32</v>
      </c>
      <c r="C363" t="s">
        <v>2</v>
      </c>
      <c r="D363" s="2">
        <v>192500</v>
      </c>
      <c r="E363" s="2">
        <v>15400</v>
      </c>
      <c r="F363" s="2">
        <v>177100</v>
      </c>
      <c r="G363" s="2">
        <v>203280.00000000003</v>
      </c>
      <c r="H363" s="2">
        <v>-26180.000000000029</v>
      </c>
      <c r="I363" s="1">
        <v>43678</v>
      </c>
      <c r="J363" t="s">
        <v>27</v>
      </c>
      <c r="K363">
        <v>2019</v>
      </c>
      <c r="L363" s="2"/>
    </row>
    <row r="364" spans="1:12" x14ac:dyDescent="0.3">
      <c r="A364" t="s">
        <v>16</v>
      </c>
      <c r="B364" t="s">
        <v>33</v>
      </c>
      <c r="C364" t="s">
        <v>2</v>
      </c>
      <c r="D364" s="2">
        <v>7350</v>
      </c>
      <c r="E364" s="2">
        <v>588</v>
      </c>
      <c r="F364" s="2">
        <v>6762</v>
      </c>
      <c r="G364" s="2">
        <v>5390</v>
      </c>
      <c r="H364" s="2">
        <v>1372</v>
      </c>
      <c r="I364" s="1">
        <v>43770</v>
      </c>
      <c r="J364" t="s">
        <v>30</v>
      </c>
      <c r="K364">
        <v>2019</v>
      </c>
      <c r="L364" s="2"/>
    </row>
    <row r="365" spans="1:12" x14ac:dyDescent="0.3">
      <c r="A365" t="s">
        <v>3</v>
      </c>
      <c r="B365" t="s">
        <v>32</v>
      </c>
      <c r="C365" t="s">
        <v>2</v>
      </c>
      <c r="D365" s="2">
        <v>476700</v>
      </c>
      <c r="E365" s="2">
        <v>38136</v>
      </c>
      <c r="F365" s="2">
        <v>438564</v>
      </c>
      <c r="G365" s="2">
        <v>389532.00000000006</v>
      </c>
      <c r="H365" s="2">
        <v>49031.999999999942</v>
      </c>
      <c r="I365" s="1">
        <v>43800</v>
      </c>
      <c r="J365" t="s">
        <v>24</v>
      </c>
      <c r="K365">
        <v>2019</v>
      </c>
      <c r="L365" s="2"/>
    </row>
    <row r="366" spans="1:12" x14ac:dyDescent="0.3">
      <c r="A366" t="s">
        <v>16</v>
      </c>
      <c r="B366" t="s">
        <v>33</v>
      </c>
      <c r="C366" t="s">
        <v>5</v>
      </c>
      <c r="D366" s="2">
        <v>37515</v>
      </c>
      <c r="E366" s="2">
        <v>3001.2</v>
      </c>
      <c r="F366" s="2">
        <v>34513.800000000003</v>
      </c>
      <c r="G366" s="2">
        <v>25010</v>
      </c>
      <c r="H366" s="2">
        <v>9503.8000000000029</v>
      </c>
      <c r="I366" s="1">
        <v>43525</v>
      </c>
      <c r="J366" t="s">
        <v>25</v>
      </c>
      <c r="K366">
        <v>2019</v>
      </c>
      <c r="L366" s="2"/>
    </row>
    <row r="367" spans="1:12" x14ac:dyDescent="0.3">
      <c r="A367" t="s">
        <v>3</v>
      </c>
      <c r="B367" t="s">
        <v>10</v>
      </c>
      <c r="C367" t="s">
        <v>5</v>
      </c>
      <c r="D367" s="2">
        <v>14160</v>
      </c>
      <c r="E367" s="2">
        <v>1132.8</v>
      </c>
      <c r="F367" s="2">
        <v>13027.2</v>
      </c>
      <c r="G367" s="2">
        <v>7080</v>
      </c>
      <c r="H367" s="2">
        <v>5947.2000000000007</v>
      </c>
      <c r="I367" s="1">
        <v>43617</v>
      </c>
      <c r="J367" t="s">
        <v>23</v>
      </c>
      <c r="K367">
        <v>2019</v>
      </c>
      <c r="L367" s="2"/>
    </row>
    <row r="368" spans="1:12" x14ac:dyDescent="0.3">
      <c r="A368" t="s">
        <v>3</v>
      </c>
      <c r="B368" t="s">
        <v>11</v>
      </c>
      <c r="C368" t="s">
        <v>5</v>
      </c>
      <c r="D368" s="2">
        <v>12900</v>
      </c>
      <c r="E368" s="2">
        <v>1032</v>
      </c>
      <c r="F368" s="2">
        <v>11868</v>
      </c>
      <c r="G368" s="2">
        <v>6450</v>
      </c>
      <c r="H368" s="2">
        <v>5418</v>
      </c>
      <c r="I368" s="1">
        <v>43647</v>
      </c>
      <c r="J368" t="s">
        <v>26</v>
      </c>
      <c r="K368">
        <v>2019</v>
      </c>
      <c r="L368" s="2"/>
    </row>
    <row r="369" spans="1:12" x14ac:dyDescent="0.3">
      <c r="A369" t="s">
        <v>13</v>
      </c>
      <c r="B369" t="s">
        <v>33</v>
      </c>
      <c r="C369" t="s">
        <v>5</v>
      </c>
      <c r="D369" s="2">
        <v>468600</v>
      </c>
      <c r="E369" s="2">
        <v>37488</v>
      </c>
      <c r="F369" s="2">
        <v>431112</v>
      </c>
      <c r="G369" s="2">
        <v>390500</v>
      </c>
      <c r="H369" s="2">
        <v>40612</v>
      </c>
      <c r="I369" s="1">
        <v>43678</v>
      </c>
      <c r="J369" t="s">
        <v>27</v>
      </c>
      <c r="K369">
        <v>2019</v>
      </c>
      <c r="L369" s="2"/>
    </row>
    <row r="370" spans="1:12" x14ac:dyDescent="0.3">
      <c r="A370" t="s">
        <v>13</v>
      </c>
      <c r="B370" t="s">
        <v>10</v>
      </c>
      <c r="C370" t="s">
        <v>5</v>
      </c>
      <c r="D370" s="2">
        <v>384900</v>
      </c>
      <c r="E370" s="2">
        <v>30792</v>
      </c>
      <c r="F370" s="2">
        <v>354108</v>
      </c>
      <c r="G370" s="2">
        <v>320750</v>
      </c>
      <c r="H370" s="2">
        <v>33358</v>
      </c>
      <c r="I370" s="1">
        <v>43344</v>
      </c>
      <c r="J370" t="s">
        <v>28</v>
      </c>
      <c r="K370">
        <v>2018</v>
      </c>
      <c r="L370" s="2"/>
    </row>
    <row r="371" spans="1:12" x14ac:dyDescent="0.3">
      <c r="A371" t="s">
        <v>16</v>
      </c>
      <c r="B371" t="s">
        <v>11</v>
      </c>
      <c r="C371" t="s">
        <v>5</v>
      </c>
      <c r="D371" s="2">
        <v>10665</v>
      </c>
      <c r="E371" s="2">
        <v>853.2</v>
      </c>
      <c r="F371" s="2">
        <v>9811.7999999999993</v>
      </c>
      <c r="G371" s="2">
        <v>7110</v>
      </c>
      <c r="H371" s="2">
        <v>2701.7999999999993</v>
      </c>
      <c r="I371" s="1">
        <v>43800</v>
      </c>
      <c r="J371" t="s">
        <v>24</v>
      </c>
      <c r="K371">
        <v>2019</v>
      </c>
      <c r="L371" s="2"/>
    </row>
    <row r="372" spans="1:12" x14ac:dyDescent="0.3">
      <c r="A372" t="s">
        <v>17</v>
      </c>
      <c r="B372" t="s">
        <v>32</v>
      </c>
      <c r="C372" t="s">
        <v>6</v>
      </c>
      <c r="D372" s="2">
        <v>139250</v>
      </c>
      <c r="E372" s="2">
        <v>11140</v>
      </c>
      <c r="F372" s="2">
        <v>128110</v>
      </c>
      <c r="G372" s="2">
        <v>133680</v>
      </c>
      <c r="H372" s="2">
        <v>-5570</v>
      </c>
      <c r="I372" s="1">
        <v>43525</v>
      </c>
      <c r="J372" t="s">
        <v>25</v>
      </c>
      <c r="K372">
        <v>2019</v>
      </c>
      <c r="L372" s="2"/>
    </row>
    <row r="373" spans="1:12" x14ac:dyDescent="0.3">
      <c r="A373" t="s">
        <v>3</v>
      </c>
      <c r="B373" t="s">
        <v>11</v>
      </c>
      <c r="C373" t="s">
        <v>6</v>
      </c>
      <c r="D373" s="2">
        <v>8813</v>
      </c>
      <c r="E373" s="2">
        <v>705.04</v>
      </c>
      <c r="F373" s="2">
        <v>8107.96</v>
      </c>
      <c r="G373" s="2">
        <v>6295</v>
      </c>
      <c r="H373" s="2">
        <v>1812.96</v>
      </c>
      <c r="I373" s="1">
        <v>43556</v>
      </c>
      <c r="J373" t="s">
        <v>38</v>
      </c>
      <c r="K373">
        <v>2019</v>
      </c>
      <c r="L373" s="2"/>
    </row>
    <row r="374" spans="1:12" x14ac:dyDescent="0.3">
      <c r="A374" t="s">
        <v>3</v>
      </c>
      <c r="B374" t="s">
        <v>11</v>
      </c>
      <c r="C374" t="s">
        <v>6</v>
      </c>
      <c r="D374" s="2">
        <v>7665</v>
      </c>
      <c r="E374" s="2">
        <v>613.20000000000005</v>
      </c>
      <c r="F374" s="2">
        <v>7051.8</v>
      </c>
      <c r="G374" s="2">
        <v>5475</v>
      </c>
      <c r="H374" s="2">
        <v>1576.8000000000002</v>
      </c>
      <c r="I374" s="1">
        <v>43586</v>
      </c>
      <c r="J374" t="s">
        <v>31</v>
      </c>
      <c r="K374">
        <v>2019</v>
      </c>
      <c r="L374" s="2"/>
    </row>
    <row r="375" spans="1:12" x14ac:dyDescent="0.3">
      <c r="A375" t="s">
        <v>3</v>
      </c>
      <c r="B375" t="s">
        <v>11</v>
      </c>
      <c r="C375" t="s">
        <v>6</v>
      </c>
      <c r="D375" s="2">
        <v>27320</v>
      </c>
      <c r="E375" s="2">
        <v>2185.6</v>
      </c>
      <c r="F375" s="2">
        <v>25134.400000000001</v>
      </c>
      <c r="G375" s="2">
        <v>13660</v>
      </c>
      <c r="H375" s="2">
        <v>11474.400000000001</v>
      </c>
      <c r="I375" s="1">
        <v>43617</v>
      </c>
      <c r="J375" t="s">
        <v>23</v>
      </c>
      <c r="K375">
        <v>2019</v>
      </c>
      <c r="L375" s="2"/>
    </row>
    <row r="376" spans="1:12" x14ac:dyDescent="0.3">
      <c r="A376" t="s">
        <v>13</v>
      </c>
      <c r="B376" t="s">
        <v>32</v>
      </c>
      <c r="C376" t="s">
        <v>6</v>
      </c>
      <c r="D376" s="2">
        <v>738000</v>
      </c>
      <c r="E376" s="2">
        <v>59040</v>
      </c>
      <c r="F376" s="2">
        <v>678960</v>
      </c>
      <c r="G376" s="2">
        <v>615000</v>
      </c>
      <c r="H376" s="2">
        <v>63960</v>
      </c>
      <c r="I376" s="1">
        <v>43617</v>
      </c>
      <c r="J376" t="s">
        <v>23</v>
      </c>
      <c r="K376">
        <v>2019</v>
      </c>
      <c r="L376" s="2"/>
    </row>
    <row r="377" spans="1:12" x14ac:dyDescent="0.3">
      <c r="A377" t="s">
        <v>3</v>
      </c>
      <c r="B377" t="s">
        <v>12</v>
      </c>
      <c r="C377" t="s">
        <v>6</v>
      </c>
      <c r="D377" s="2">
        <v>4746</v>
      </c>
      <c r="E377" s="2">
        <v>379.68</v>
      </c>
      <c r="F377" s="2">
        <v>4366.32</v>
      </c>
      <c r="G377" s="2">
        <v>3390</v>
      </c>
      <c r="H377" s="2">
        <v>976.31999999999971</v>
      </c>
      <c r="I377" s="1">
        <v>43678</v>
      </c>
      <c r="J377" t="s">
        <v>27</v>
      </c>
      <c r="K377">
        <v>2019</v>
      </c>
      <c r="L377" s="2"/>
    </row>
    <row r="378" spans="1:12" x14ac:dyDescent="0.3">
      <c r="A378" t="s">
        <v>3</v>
      </c>
      <c r="B378" t="s">
        <v>11</v>
      </c>
      <c r="C378" t="s">
        <v>6</v>
      </c>
      <c r="D378" s="2">
        <v>11186</v>
      </c>
      <c r="E378" s="2">
        <v>894.88</v>
      </c>
      <c r="F378" s="2">
        <v>10291.120000000001</v>
      </c>
      <c r="G378" s="2">
        <v>7990</v>
      </c>
      <c r="H378" s="2">
        <v>2301.1200000000008</v>
      </c>
      <c r="I378" s="1">
        <v>43678</v>
      </c>
      <c r="J378" t="s">
        <v>27</v>
      </c>
      <c r="K378">
        <v>2019</v>
      </c>
      <c r="L378" s="2"/>
    </row>
    <row r="379" spans="1:12" x14ac:dyDescent="0.3">
      <c r="A379" t="s">
        <v>3</v>
      </c>
      <c r="B379" t="s">
        <v>11</v>
      </c>
      <c r="C379" t="s">
        <v>6</v>
      </c>
      <c r="D379" s="2">
        <v>16863</v>
      </c>
      <c r="E379" s="2">
        <v>1349.04</v>
      </c>
      <c r="F379" s="2">
        <v>15513.96</v>
      </c>
      <c r="G379" s="2">
        <v>12045</v>
      </c>
      <c r="H379" s="2">
        <v>3468.9599999999991</v>
      </c>
      <c r="I379" s="1">
        <v>43344</v>
      </c>
      <c r="J379" t="s">
        <v>28</v>
      </c>
      <c r="K379">
        <v>2018</v>
      </c>
      <c r="L379" s="2"/>
    </row>
    <row r="380" spans="1:12" x14ac:dyDescent="0.3">
      <c r="A380" t="s">
        <v>3</v>
      </c>
      <c r="B380" t="s">
        <v>11</v>
      </c>
      <c r="C380" t="s">
        <v>6</v>
      </c>
      <c r="D380" s="2">
        <v>38680</v>
      </c>
      <c r="E380" s="2">
        <v>3094.4</v>
      </c>
      <c r="F380" s="2">
        <v>35585.599999999999</v>
      </c>
      <c r="G380" s="2">
        <v>19340</v>
      </c>
      <c r="H380" s="2">
        <v>16245.599999999999</v>
      </c>
      <c r="I380" s="1">
        <v>43709</v>
      </c>
      <c r="J380" t="s">
        <v>28</v>
      </c>
      <c r="K380">
        <v>2019</v>
      </c>
      <c r="L380" s="2"/>
    </row>
    <row r="381" spans="1:12" x14ac:dyDescent="0.3">
      <c r="A381" t="s">
        <v>3</v>
      </c>
      <c r="B381" t="s">
        <v>32</v>
      </c>
      <c r="C381" t="s">
        <v>6</v>
      </c>
      <c r="D381" s="2">
        <v>59860</v>
      </c>
      <c r="E381" s="2">
        <v>4788.8</v>
      </c>
      <c r="F381" s="2">
        <v>55071.199999999997</v>
      </c>
      <c r="G381" s="2">
        <v>29930</v>
      </c>
      <c r="H381" s="2">
        <v>25141.199999999997</v>
      </c>
      <c r="I381" s="1">
        <v>43709</v>
      </c>
      <c r="J381" t="s">
        <v>28</v>
      </c>
      <c r="K381">
        <v>2019</v>
      </c>
      <c r="L381" s="2"/>
    </row>
    <row r="382" spans="1:12" x14ac:dyDescent="0.3">
      <c r="A382" t="s">
        <v>3</v>
      </c>
      <c r="B382" t="s">
        <v>11</v>
      </c>
      <c r="C382" t="s">
        <v>6</v>
      </c>
      <c r="D382" s="2">
        <v>751100</v>
      </c>
      <c r="E382" s="2">
        <v>60088</v>
      </c>
      <c r="F382" s="2">
        <v>691012</v>
      </c>
      <c r="G382" s="2">
        <v>557960</v>
      </c>
      <c r="H382" s="2">
        <v>133052</v>
      </c>
      <c r="I382" s="1">
        <v>43405</v>
      </c>
      <c r="J382" t="s">
        <v>30</v>
      </c>
      <c r="K382">
        <v>2018</v>
      </c>
      <c r="L382" s="2"/>
    </row>
    <row r="383" spans="1:12" x14ac:dyDescent="0.3">
      <c r="A383" t="s">
        <v>3</v>
      </c>
      <c r="B383" t="s">
        <v>32</v>
      </c>
      <c r="C383" t="s">
        <v>6</v>
      </c>
      <c r="D383" s="2">
        <v>13622</v>
      </c>
      <c r="E383" s="2">
        <v>1089.76</v>
      </c>
      <c r="F383" s="2">
        <v>12532.24</v>
      </c>
      <c r="G383" s="2">
        <v>9730</v>
      </c>
      <c r="H383" s="2">
        <v>2802.24</v>
      </c>
      <c r="I383" s="1">
        <v>43435</v>
      </c>
      <c r="J383" t="s">
        <v>24</v>
      </c>
      <c r="K383">
        <v>2018</v>
      </c>
      <c r="L383" s="2"/>
    </row>
    <row r="384" spans="1:12" x14ac:dyDescent="0.3">
      <c r="A384" t="s">
        <v>3</v>
      </c>
      <c r="B384" t="s">
        <v>32</v>
      </c>
      <c r="C384" t="s">
        <v>6</v>
      </c>
      <c r="D384" s="2">
        <v>476700</v>
      </c>
      <c r="E384" s="2">
        <v>38136</v>
      </c>
      <c r="F384" s="2">
        <v>438564</v>
      </c>
      <c r="G384" s="2">
        <v>354120</v>
      </c>
      <c r="H384" s="2">
        <v>84444</v>
      </c>
      <c r="I384" s="1">
        <v>43800</v>
      </c>
      <c r="J384" t="s">
        <v>24</v>
      </c>
      <c r="K384">
        <v>2019</v>
      </c>
      <c r="L384" s="2"/>
    </row>
    <row r="385" spans="1:12" x14ac:dyDescent="0.3">
      <c r="A385" t="s">
        <v>14</v>
      </c>
      <c r="B385" t="s">
        <v>10</v>
      </c>
      <c r="C385" t="s">
        <v>7</v>
      </c>
      <c r="D385" s="2">
        <v>7176</v>
      </c>
      <c r="E385" s="2">
        <v>574.08000000000004</v>
      </c>
      <c r="F385" s="2">
        <v>6601.92</v>
      </c>
      <c r="G385" s="2">
        <v>1794</v>
      </c>
      <c r="H385" s="2">
        <v>4807.92</v>
      </c>
      <c r="I385" s="1">
        <v>43525</v>
      </c>
      <c r="J385" t="s">
        <v>25</v>
      </c>
      <c r="K385">
        <v>2019</v>
      </c>
      <c r="L385" s="2"/>
    </row>
    <row r="386" spans="1:12" x14ac:dyDescent="0.3">
      <c r="A386" t="s">
        <v>3</v>
      </c>
      <c r="B386" t="s">
        <v>12</v>
      </c>
      <c r="C386" t="s">
        <v>7</v>
      </c>
      <c r="D386" s="2">
        <v>20349</v>
      </c>
      <c r="E386" s="2">
        <v>1627.92</v>
      </c>
      <c r="F386" s="2">
        <v>18721.080000000002</v>
      </c>
      <c r="G386" s="2">
        <v>14535</v>
      </c>
      <c r="H386" s="2">
        <v>4186.0800000000017</v>
      </c>
      <c r="I386" s="1">
        <v>43617</v>
      </c>
      <c r="J386" t="s">
        <v>23</v>
      </c>
      <c r="K386">
        <v>2019</v>
      </c>
      <c r="L386" s="2"/>
    </row>
    <row r="387" spans="1:12" x14ac:dyDescent="0.3">
      <c r="A387" t="s">
        <v>3</v>
      </c>
      <c r="B387" t="s">
        <v>11</v>
      </c>
      <c r="C387" t="s">
        <v>7</v>
      </c>
      <c r="D387" s="2">
        <v>16366</v>
      </c>
      <c r="E387" s="2">
        <v>1309.28</v>
      </c>
      <c r="F387" s="2">
        <v>15056.72</v>
      </c>
      <c r="G387" s="2">
        <v>11690</v>
      </c>
      <c r="H387" s="2">
        <v>3366.7199999999993</v>
      </c>
      <c r="I387" s="1">
        <v>43617</v>
      </c>
      <c r="J387" t="s">
        <v>23</v>
      </c>
      <c r="K387">
        <v>2019</v>
      </c>
      <c r="L387" s="2"/>
    </row>
    <row r="388" spans="1:12" x14ac:dyDescent="0.3">
      <c r="A388" t="s">
        <v>13</v>
      </c>
      <c r="B388" t="s">
        <v>33</v>
      </c>
      <c r="C388" t="s">
        <v>7</v>
      </c>
      <c r="D388" s="2">
        <v>115800</v>
      </c>
      <c r="E388" s="2">
        <v>9264</v>
      </c>
      <c r="F388" s="2">
        <v>106536</v>
      </c>
      <c r="G388" s="2">
        <v>96500</v>
      </c>
      <c r="H388" s="2">
        <v>10036</v>
      </c>
      <c r="I388" s="1">
        <v>43405</v>
      </c>
      <c r="J388" t="s">
        <v>30</v>
      </c>
      <c r="K388">
        <v>2018</v>
      </c>
      <c r="L388" s="2"/>
    </row>
    <row r="389" spans="1:12" x14ac:dyDescent="0.3">
      <c r="A389" t="s">
        <v>13</v>
      </c>
      <c r="B389" t="s">
        <v>32</v>
      </c>
      <c r="C389" t="s">
        <v>7</v>
      </c>
      <c r="D389" s="2">
        <v>190500</v>
      </c>
      <c r="E389" s="2">
        <v>15240</v>
      </c>
      <c r="F389" s="2">
        <v>175260</v>
      </c>
      <c r="G389" s="2">
        <v>158750</v>
      </c>
      <c r="H389" s="2">
        <v>16510</v>
      </c>
      <c r="I389" s="1">
        <v>43800</v>
      </c>
      <c r="J389" t="s">
        <v>24</v>
      </c>
      <c r="K389">
        <v>2019</v>
      </c>
      <c r="L389" s="2"/>
    </row>
    <row r="390" spans="1:12" x14ac:dyDescent="0.3">
      <c r="A390" t="s">
        <v>3</v>
      </c>
      <c r="B390" t="s">
        <v>33</v>
      </c>
      <c r="C390" t="s">
        <v>8</v>
      </c>
      <c r="D390" s="2">
        <v>201075</v>
      </c>
      <c r="E390" s="2">
        <v>16086</v>
      </c>
      <c r="F390" s="2">
        <v>184989</v>
      </c>
      <c r="G390" s="2">
        <v>149370</v>
      </c>
      <c r="H390" s="2">
        <v>35619</v>
      </c>
      <c r="I390" s="1">
        <v>43556</v>
      </c>
      <c r="J390" t="s">
        <v>38</v>
      </c>
      <c r="K390">
        <v>2019</v>
      </c>
      <c r="L390" s="2"/>
    </row>
    <row r="391" spans="1:12" x14ac:dyDescent="0.3">
      <c r="A391" t="s">
        <v>3</v>
      </c>
      <c r="B391" t="s">
        <v>11</v>
      </c>
      <c r="C391" t="s">
        <v>8</v>
      </c>
      <c r="D391" s="2">
        <v>16366</v>
      </c>
      <c r="E391" s="2">
        <v>1309.28</v>
      </c>
      <c r="F391" s="2">
        <v>15056.72</v>
      </c>
      <c r="G391" s="2">
        <v>11690</v>
      </c>
      <c r="H391" s="2">
        <v>3366.7199999999993</v>
      </c>
      <c r="I391" s="1">
        <v>43617</v>
      </c>
      <c r="J391" t="s">
        <v>23</v>
      </c>
      <c r="K391">
        <v>2019</v>
      </c>
      <c r="L391" s="2"/>
    </row>
    <row r="392" spans="1:12" x14ac:dyDescent="0.3">
      <c r="A392" t="s">
        <v>3</v>
      </c>
      <c r="B392" t="s">
        <v>33</v>
      </c>
      <c r="C392" t="s">
        <v>8</v>
      </c>
      <c r="D392" s="2">
        <v>133350</v>
      </c>
      <c r="E392" s="2">
        <v>10668</v>
      </c>
      <c r="F392" s="2">
        <v>122682</v>
      </c>
      <c r="G392" s="2">
        <v>99060</v>
      </c>
      <c r="H392" s="2">
        <v>23622</v>
      </c>
      <c r="I392" s="1">
        <v>43678</v>
      </c>
      <c r="J392" t="s">
        <v>27</v>
      </c>
      <c r="K392">
        <v>2019</v>
      </c>
      <c r="L392" s="2"/>
    </row>
    <row r="393" spans="1:12" x14ac:dyDescent="0.3">
      <c r="A393" t="s">
        <v>3</v>
      </c>
      <c r="B393" t="s">
        <v>11</v>
      </c>
      <c r="C393" t="s">
        <v>8</v>
      </c>
      <c r="D393" s="2">
        <v>147700</v>
      </c>
      <c r="E393" s="2">
        <v>11816</v>
      </c>
      <c r="F393" s="2">
        <v>135884</v>
      </c>
      <c r="G393" s="2">
        <v>109720</v>
      </c>
      <c r="H393" s="2">
        <v>26164</v>
      </c>
      <c r="I393" s="1">
        <v>43678</v>
      </c>
      <c r="J393" t="s">
        <v>27</v>
      </c>
      <c r="K393">
        <v>2019</v>
      </c>
      <c r="L393" s="2"/>
    </row>
    <row r="394" spans="1:12" x14ac:dyDescent="0.3">
      <c r="A394" t="s">
        <v>13</v>
      </c>
      <c r="B394" t="s">
        <v>10</v>
      </c>
      <c r="C394" t="s">
        <v>8</v>
      </c>
      <c r="D394" s="2">
        <v>640200</v>
      </c>
      <c r="E394" s="2">
        <v>51216</v>
      </c>
      <c r="F394" s="2">
        <v>588984</v>
      </c>
      <c r="G394" s="2">
        <v>533500</v>
      </c>
      <c r="H394" s="2">
        <v>55484</v>
      </c>
      <c r="I394" s="1">
        <v>43709</v>
      </c>
      <c r="J394" t="s">
        <v>28</v>
      </c>
      <c r="K394">
        <v>2019</v>
      </c>
      <c r="L394" s="2"/>
    </row>
    <row r="395" spans="1:12" x14ac:dyDescent="0.3">
      <c r="A395" t="s">
        <v>13</v>
      </c>
      <c r="B395" t="s">
        <v>12</v>
      </c>
      <c r="C395" t="s">
        <v>8</v>
      </c>
      <c r="D395" s="2">
        <v>242400</v>
      </c>
      <c r="E395" s="2">
        <v>19392</v>
      </c>
      <c r="F395" s="2">
        <v>223008</v>
      </c>
      <c r="G395" s="2">
        <v>202000</v>
      </c>
      <c r="H395" s="2">
        <v>21008</v>
      </c>
      <c r="I395" s="1">
        <v>43435</v>
      </c>
      <c r="J395" t="s">
        <v>24</v>
      </c>
      <c r="K395">
        <v>2018</v>
      </c>
      <c r="L395" s="2"/>
    </row>
    <row r="396" spans="1:12" x14ac:dyDescent="0.3">
      <c r="A396" t="s">
        <v>3</v>
      </c>
      <c r="B396" t="s">
        <v>10</v>
      </c>
      <c r="C396" t="s">
        <v>9</v>
      </c>
      <c r="D396" s="2">
        <v>14160</v>
      </c>
      <c r="E396" s="2">
        <v>1132.8</v>
      </c>
      <c r="F396" s="2">
        <v>13027.2</v>
      </c>
      <c r="G396" s="2">
        <v>7080</v>
      </c>
      <c r="H396" s="2">
        <v>5947.2000000000007</v>
      </c>
      <c r="I396" s="1">
        <v>43617</v>
      </c>
      <c r="J396" t="s">
        <v>23</v>
      </c>
      <c r="K396">
        <v>2019</v>
      </c>
      <c r="L396" s="2"/>
    </row>
    <row r="397" spans="1:12" x14ac:dyDescent="0.3">
      <c r="A397" t="s">
        <v>3</v>
      </c>
      <c r="B397" t="s">
        <v>12</v>
      </c>
      <c r="C397" t="s">
        <v>9</v>
      </c>
      <c r="D397" s="2">
        <v>20349</v>
      </c>
      <c r="E397" s="2">
        <v>1627.92</v>
      </c>
      <c r="F397" s="2">
        <v>18721.080000000002</v>
      </c>
      <c r="G397" s="2">
        <v>14535</v>
      </c>
      <c r="H397" s="2">
        <v>4186.0800000000017</v>
      </c>
      <c r="I397" s="1">
        <v>43617</v>
      </c>
      <c r="J397" t="s">
        <v>23</v>
      </c>
      <c r="K397">
        <v>2019</v>
      </c>
      <c r="L397" s="2"/>
    </row>
    <row r="398" spans="1:12" x14ac:dyDescent="0.3">
      <c r="A398" t="s">
        <v>3</v>
      </c>
      <c r="B398" t="s">
        <v>11</v>
      </c>
      <c r="C398" t="s">
        <v>9</v>
      </c>
      <c r="D398" s="2">
        <v>27320</v>
      </c>
      <c r="E398" s="2">
        <v>2185.6</v>
      </c>
      <c r="F398" s="2">
        <v>25134.400000000001</v>
      </c>
      <c r="G398" s="2">
        <v>13660</v>
      </c>
      <c r="H398" s="2">
        <v>11474.400000000001</v>
      </c>
      <c r="I398" s="1">
        <v>43617</v>
      </c>
      <c r="J398" t="s">
        <v>23</v>
      </c>
      <c r="K398">
        <v>2019</v>
      </c>
      <c r="L398" s="2"/>
    </row>
    <row r="399" spans="1:12" x14ac:dyDescent="0.3">
      <c r="A399" t="s">
        <v>13</v>
      </c>
      <c r="B399" t="s">
        <v>32</v>
      </c>
      <c r="C399" t="s">
        <v>9</v>
      </c>
      <c r="D399" s="2">
        <v>738000</v>
      </c>
      <c r="E399" s="2">
        <v>59040</v>
      </c>
      <c r="F399" s="2">
        <v>678960</v>
      </c>
      <c r="G399" s="2">
        <v>615000</v>
      </c>
      <c r="H399" s="2">
        <v>63960</v>
      </c>
      <c r="I399" s="1">
        <v>43617</v>
      </c>
      <c r="J399" t="s">
        <v>23</v>
      </c>
      <c r="K399">
        <v>2019</v>
      </c>
      <c r="L399" s="2"/>
    </row>
    <row r="400" spans="1:12" x14ac:dyDescent="0.3">
      <c r="A400" t="s">
        <v>3</v>
      </c>
      <c r="B400" t="s">
        <v>11</v>
      </c>
      <c r="C400" t="s">
        <v>9</v>
      </c>
      <c r="D400" s="2">
        <v>30400</v>
      </c>
      <c r="E400" s="2">
        <v>2432</v>
      </c>
      <c r="F400" s="2">
        <v>27968</v>
      </c>
      <c r="G400" s="2">
        <v>15200</v>
      </c>
      <c r="H400" s="2">
        <v>12768</v>
      </c>
      <c r="I400" s="1">
        <v>43770</v>
      </c>
      <c r="J400" t="s">
        <v>30</v>
      </c>
      <c r="K400">
        <v>2019</v>
      </c>
      <c r="L400" s="2"/>
    </row>
    <row r="401" spans="1:12" x14ac:dyDescent="0.3">
      <c r="A401" t="s">
        <v>16</v>
      </c>
      <c r="B401" t="s">
        <v>11</v>
      </c>
      <c r="C401" t="s">
        <v>9</v>
      </c>
      <c r="D401" s="2">
        <v>10665</v>
      </c>
      <c r="E401" s="2">
        <v>853.2</v>
      </c>
      <c r="F401" s="2">
        <v>9811.7999999999993</v>
      </c>
      <c r="G401" s="2">
        <v>7110</v>
      </c>
      <c r="H401" s="2">
        <v>2701.7999999999993</v>
      </c>
      <c r="I401" s="1">
        <v>43800</v>
      </c>
      <c r="J401" t="s">
        <v>24</v>
      </c>
      <c r="K401">
        <v>2019</v>
      </c>
      <c r="L401" s="2"/>
    </row>
    <row r="402" spans="1:12" x14ac:dyDescent="0.3">
      <c r="A402" t="s">
        <v>14</v>
      </c>
      <c r="B402" t="s">
        <v>32</v>
      </c>
      <c r="C402" t="s">
        <v>9</v>
      </c>
      <c r="D402" s="2">
        <v>16500</v>
      </c>
      <c r="E402" s="2">
        <v>1320</v>
      </c>
      <c r="F402" s="2">
        <v>15180</v>
      </c>
      <c r="G402" s="2">
        <v>4125</v>
      </c>
      <c r="H402" s="2">
        <v>11055</v>
      </c>
      <c r="I402" s="1">
        <v>43435</v>
      </c>
      <c r="J402" t="s">
        <v>24</v>
      </c>
      <c r="K402">
        <v>2018</v>
      </c>
      <c r="L402" s="2"/>
    </row>
    <row r="403" spans="1:12" x14ac:dyDescent="0.3">
      <c r="A403" t="s">
        <v>13</v>
      </c>
      <c r="B403" t="s">
        <v>32</v>
      </c>
      <c r="C403" t="s">
        <v>9</v>
      </c>
      <c r="D403" s="2">
        <v>190500</v>
      </c>
      <c r="E403" s="2">
        <v>15240</v>
      </c>
      <c r="F403" s="2">
        <v>175260</v>
      </c>
      <c r="G403" s="2">
        <v>158750</v>
      </c>
      <c r="H403" s="2">
        <v>16510</v>
      </c>
      <c r="I403" s="1">
        <v>43800</v>
      </c>
      <c r="J403" t="s">
        <v>24</v>
      </c>
      <c r="K403">
        <v>2019</v>
      </c>
      <c r="L403" s="2"/>
    </row>
    <row r="404" spans="1:12" x14ac:dyDescent="0.3">
      <c r="A404" t="s">
        <v>3</v>
      </c>
      <c r="B404" t="s">
        <v>12</v>
      </c>
      <c r="C404" t="s">
        <v>8</v>
      </c>
      <c r="D404" s="2">
        <v>8730</v>
      </c>
      <c r="E404" s="2">
        <v>698.40000000000009</v>
      </c>
      <c r="F404" s="2">
        <v>8031.5999999999995</v>
      </c>
      <c r="G404" s="2">
        <v>4365</v>
      </c>
      <c r="H404" s="2">
        <v>3666.5999999999995</v>
      </c>
      <c r="I404" s="1">
        <v>43647</v>
      </c>
      <c r="J404" t="s">
        <v>26</v>
      </c>
      <c r="K404">
        <v>2019</v>
      </c>
      <c r="L404" s="2"/>
    </row>
    <row r="405" spans="1:12" x14ac:dyDescent="0.3">
      <c r="A405" t="s">
        <v>13</v>
      </c>
      <c r="B405" t="s">
        <v>10</v>
      </c>
      <c r="C405" t="s">
        <v>2</v>
      </c>
      <c r="D405" s="2">
        <v>328200</v>
      </c>
      <c r="E405" s="2">
        <v>29538</v>
      </c>
      <c r="F405" s="2">
        <v>298662</v>
      </c>
      <c r="G405" s="2">
        <v>300850</v>
      </c>
      <c r="H405" s="2">
        <v>-2188</v>
      </c>
      <c r="I405" s="1">
        <v>43617</v>
      </c>
      <c r="J405" t="s">
        <v>23</v>
      </c>
      <c r="K405">
        <v>2019</v>
      </c>
      <c r="L405" s="2"/>
    </row>
    <row r="406" spans="1:12" x14ac:dyDescent="0.3">
      <c r="A406" t="s">
        <v>14</v>
      </c>
      <c r="B406" t="s">
        <v>32</v>
      </c>
      <c r="C406" t="s">
        <v>2</v>
      </c>
      <c r="D406" s="2">
        <v>4404</v>
      </c>
      <c r="E406" s="2">
        <v>396.36</v>
      </c>
      <c r="F406" s="2">
        <v>4007.64</v>
      </c>
      <c r="G406" s="2">
        <v>1211.1000000000001</v>
      </c>
      <c r="H406" s="2">
        <v>2796.54</v>
      </c>
      <c r="I406" s="1">
        <v>43374</v>
      </c>
      <c r="J406" t="s">
        <v>29</v>
      </c>
      <c r="K406">
        <v>2018</v>
      </c>
      <c r="L406" s="2"/>
    </row>
    <row r="407" spans="1:12" x14ac:dyDescent="0.3">
      <c r="A407" t="s">
        <v>13</v>
      </c>
      <c r="B407" t="s">
        <v>10</v>
      </c>
      <c r="C407" t="s">
        <v>5</v>
      </c>
      <c r="D407" s="2">
        <v>1140750</v>
      </c>
      <c r="E407" s="2">
        <v>102667.5</v>
      </c>
      <c r="F407" s="2">
        <v>1038082.5</v>
      </c>
      <c r="G407" s="2">
        <v>950625</v>
      </c>
      <c r="H407" s="2">
        <v>87457.5</v>
      </c>
      <c r="I407" s="1">
        <v>43556</v>
      </c>
      <c r="J407" t="s">
        <v>38</v>
      </c>
      <c r="K407">
        <v>2019</v>
      </c>
      <c r="L407" s="2"/>
    </row>
    <row r="408" spans="1:12" x14ac:dyDescent="0.3">
      <c r="A408" t="s">
        <v>3</v>
      </c>
      <c r="B408" t="s">
        <v>33</v>
      </c>
      <c r="C408" t="s">
        <v>5</v>
      </c>
      <c r="D408" s="2">
        <v>583100</v>
      </c>
      <c r="E408" s="2">
        <v>52479</v>
      </c>
      <c r="F408" s="2">
        <v>530621</v>
      </c>
      <c r="G408" s="2">
        <v>433160</v>
      </c>
      <c r="H408" s="2">
        <v>97461</v>
      </c>
      <c r="I408" s="1">
        <v>43586</v>
      </c>
      <c r="J408" t="s">
        <v>31</v>
      </c>
      <c r="K408">
        <v>2019</v>
      </c>
      <c r="L408" s="2"/>
    </row>
    <row r="409" spans="1:12" x14ac:dyDescent="0.3">
      <c r="A409" t="s">
        <v>13</v>
      </c>
      <c r="B409" t="s">
        <v>33</v>
      </c>
      <c r="C409" t="s">
        <v>5</v>
      </c>
      <c r="D409" s="2">
        <v>96600</v>
      </c>
      <c r="E409" s="2">
        <v>8694</v>
      </c>
      <c r="F409" s="2">
        <v>87906</v>
      </c>
      <c r="G409" s="2">
        <v>80500</v>
      </c>
      <c r="H409" s="2">
        <v>7406</v>
      </c>
      <c r="I409" s="1">
        <v>43344</v>
      </c>
      <c r="J409" t="s">
        <v>28</v>
      </c>
      <c r="K409">
        <v>2018</v>
      </c>
      <c r="L409" s="2"/>
    </row>
    <row r="410" spans="1:12" x14ac:dyDescent="0.3">
      <c r="A410" t="s">
        <v>14</v>
      </c>
      <c r="B410" t="s">
        <v>10</v>
      </c>
      <c r="C410" t="s">
        <v>5</v>
      </c>
      <c r="D410" s="2">
        <v>27852</v>
      </c>
      <c r="E410" s="2">
        <v>2506.6799999999998</v>
      </c>
      <c r="F410" s="2">
        <v>25345.32</v>
      </c>
      <c r="G410" s="2">
        <v>6963</v>
      </c>
      <c r="H410" s="2">
        <v>18382.32</v>
      </c>
      <c r="I410" s="1">
        <v>43770</v>
      </c>
      <c r="J410" t="s">
        <v>30</v>
      </c>
      <c r="K410">
        <v>2019</v>
      </c>
      <c r="L410" s="2"/>
    </row>
    <row r="411" spans="1:12" x14ac:dyDescent="0.3">
      <c r="A411" t="s">
        <v>17</v>
      </c>
      <c r="B411" t="s">
        <v>33</v>
      </c>
      <c r="C411" t="s">
        <v>5</v>
      </c>
      <c r="D411" s="2">
        <v>232125</v>
      </c>
      <c r="E411" s="2">
        <v>20891.25</v>
      </c>
      <c r="F411" s="2">
        <v>211233.75</v>
      </c>
      <c r="G411" s="2">
        <v>222840</v>
      </c>
      <c r="H411" s="2">
        <v>-11606.25</v>
      </c>
      <c r="I411" s="1">
        <v>43405</v>
      </c>
      <c r="J411" t="s">
        <v>30</v>
      </c>
      <c r="K411">
        <v>2018</v>
      </c>
      <c r="L411" s="2"/>
    </row>
    <row r="412" spans="1:12" x14ac:dyDescent="0.3">
      <c r="A412" t="s">
        <v>3</v>
      </c>
      <c r="B412" t="s">
        <v>10</v>
      </c>
      <c r="C412" t="s">
        <v>5</v>
      </c>
      <c r="D412" s="2">
        <v>11277</v>
      </c>
      <c r="E412" s="2">
        <v>1014.93</v>
      </c>
      <c r="F412" s="2">
        <v>10262.07</v>
      </c>
      <c r="G412" s="2">
        <v>8055</v>
      </c>
      <c r="H412" s="2">
        <v>2207.0699999999997</v>
      </c>
      <c r="I412" s="1">
        <v>43435</v>
      </c>
      <c r="J412" t="s">
        <v>24</v>
      </c>
      <c r="K412">
        <v>2018</v>
      </c>
      <c r="L412" s="2"/>
    </row>
    <row r="413" spans="1:12" x14ac:dyDescent="0.3">
      <c r="A413" t="s">
        <v>17</v>
      </c>
      <c r="B413" t="s">
        <v>12</v>
      </c>
      <c r="C413" t="s">
        <v>5</v>
      </c>
      <c r="D413" s="2">
        <v>349625</v>
      </c>
      <c r="E413" s="2">
        <v>31466.25</v>
      </c>
      <c r="F413" s="2">
        <v>318158.75</v>
      </c>
      <c r="G413" s="2">
        <v>335640</v>
      </c>
      <c r="H413" s="2">
        <v>-17481.25</v>
      </c>
      <c r="I413" s="1">
        <v>43800</v>
      </c>
      <c r="J413" t="s">
        <v>24</v>
      </c>
      <c r="K413">
        <v>2019</v>
      </c>
      <c r="L413" s="2"/>
    </row>
    <row r="414" spans="1:12" x14ac:dyDescent="0.3">
      <c r="A414" t="s">
        <v>13</v>
      </c>
      <c r="B414" t="s">
        <v>11</v>
      </c>
      <c r="C414" t="s">
        <v>5</v>
      </c>
      <c r="D414" s="2">
        <v>100200</v>
      </c>
      <c r="E414" s="2">
        <v>9018</v>
      </c>
      <c r="F414" s="2">
        <v>91182</v>
      </c>
      <c r="G414" s="2">
        <v>83500</v>
      </c>
      <c r="H414" s="2">
        <v>7682</v>
      </c>
      <c r="I414" s="1">
        <v>43435</v>
      </c>
      <c r="J414" t="s">
        <v>24</v>
      </c>
      <c r="K414">
        <v>2018</v>
      </c>
      <c r="L414" s="2"/>
    </row>
    <row r="415" spans="1:12" x14ac:dyDescent="0.3">
      <c r="A415" t="s">
        <v>13</v>
      </c>
      <c r="B415" t="s">
        <v>32</v>
      </c>
      <c r="C415" t="s">
        <v>6</v>
      </c>
      <c r="D415" s="2">
        <v>769500</v>
      </c>
      <c r="E415" s="2">
        <v>69255</v>
      </c>
      <c r="F415" s="2">
        <v>700245</v>
      </c>
      <c r="G415" s="2">
        <v>641250</v>
      </c>
      <c r="H415" s="2">
        <v>58995</v>
      </c>
      <c r="I415" s="1">
        <v>43466</v>
      </c>
      <c r="J415" t="s">
        <v>21</v>
      </c>
      <c r="K415">
        <v>2019</v>
      </c>
      <c r="L415" s="2"/>
    </row>
    <row r="416" spans="1:12" x14ac:dyDescent="0.3">
      <c r="A416" t="s">
        <v>3</v>
      </c>
      <c r="B416" t="s">
        <v>32</v>
      </c>
      <c r="C416" t="s">
        <v>6</v>
      </c>
      <c r="D416" s="2">
        <v>845950</v>
      </c>
      <c r="E416" s="2">
        <v>76135.5</v>
      </c>
      <c r="F416" s="2">
        <v>769814.5</v>
      </c>
      <c r="G416" s="2">
        <v>628420</v>
      </c>
      <c r="H416" s="2">
        <v>141394.5</v>
      </c>
      <c r="I416" s="1">
        <v>43466</v>
      </c>
      <c r="J416" t="s">
        <v>21</v>
      </c>
      <c r="K416">
        <v>2019</v>
      </c>
      <c r="L416" s="2"/>
    </row>
    <row r="417" spans="1:12" x14ac:dyDescent="0.3">
      <c r="A417" t="s">
        <v>16</v>
      </c>
      <c r="B417" t="s">
        <v>12</v>
      </c>
      <c r="C417" t="s">
        <v>6</v>
      </c>
      <c r="D417" s="2">
        <v>55125</v>
      </c>
      <c r="E417" s="2">
        <v>4961.25</v>
      </c>
      <c r="F417" s="2">
        <v>50163.75</v>
      </c>
      <c r="G417" s="2">
        <v>36750</v>
      </c>
      <c r="H417" s="2">
        <v>13413.75</v>
      </c>
      <c r="I417" s="1">
        <v>43556</v>
      </c>
      <c r="J417" t="s">
        <v>38</v>
      </c>
      <c r="K417">
        <v>2019</v>
      </c>
      <c r="L417" s="2"/>
    </row>
    <row r="418" spans="1:12" x14ac:dyDescent="0.3">
      <c r="A418" t="s">
        <v>13</v>
      </c>
      <c r="B418" t="s">
        <v>10</v>
      </c>
      <c r="C418" t="s">
        <v>6</v>
      </c>
      <c r="D418" s="2">
        <v>328200</v>
      </c>
      <c r="E418" s="2">
        <v>29538</v>
      </c>
      <c r="F418" s="2">
        <v>298662</v>
      </c>
      <c r="G418" s="2">
        <v>273500</v>
      </c>
      <c r="H418" s="2">
        <v>25162</v>
      </c>
      <c r="I418" s="1">
        <v>43617</v>
      </c>
      <c r="J418" t="s">
        <v>23</v>
      </c>
      <c r="K418">
        <v>2019</v>
      </c>
      <c r="L418" s="2"/>
    </row>
    <row r="419" spans="1:12" x14ac:dyDescent="0.3">
      <c r="A419" t="s">
        <v>16</v>
      </c>
      <c r="B419" t="s">
        <v>33</v>
      </c>
      <c r="C419" t="s">
        <v>6</v>
      </c>
      <c r="D419" s="2">
        <v>18405</v>
      </c>
      <c r="E419" s="2">
        <v>1656.45</v>
      </c>
      <c r="F419" s="2">
        <v>16748.55</v>
      </c>
      <c r="G419" s="2">
        <v>12270</v>
      </c>
      <c r="H419" s="2">
        <v>4478.5499999999993</v>
      </c>
      <c r="I419" s="1">
        <v>43739</v>
      </c>
      <c r="J419" t="s">
        <v>29</v>
      </c>
      <c r="K419">
        <v>2019</v>
      </c>
      <c r="L419" s="2"/>
    </row>
    <row r="420" spans="1:12" x14ac:dyDescent="0.3">
      <c r="A420" t="s">
        <v>14</v>
      </c>
      <c r="B420" t="s">
        <v>32</v>
      </c>
      <c r="C420" t="s">
        <v>6</v>
      </c>
      <c r="D420" s="2">
        <v>4404</v>
      </c>
      <c r="E420" s="2">
        <v>396.36</v>
      </c>
      <c r="F420" s="2">
        <v>4007.64</v>
      </c>
      <c r="G420" s="2">
        <v>1101</v>
      </c>
      <c r="H420" s="2">
        <v>2906.64</v>
      </c>
      <c r="I420" s="1">
        <v>43374</v>
      </c>
      <c r="J420" t="s">
        <v>29</v>
      </c>
      <c r="K420">
        <v>2018</v>
      </c>
      <c r="L420" s="2"/>
    </row>
    <row r="421" spans="1:12" x14ac:dyDescent="0.3">
      <c r="A421" t="s">
        <v>13</v>
      </c>
      <c r="B421" t="s">
        <v>33</v>
      </c>
      <c r="C421" t="s">
        <v>6</v>
      </c>
      <c r="D421" s="2">
        <v>397200</v>
      </c>
      <c r="E421" s="2">
        <v>35748</v>
      </c>
      <c r="F421" s="2">
        <v>361452</v>
      </c>
      <c r="G421" s="2">
        <v>331000</v>
      </c>
      <c r="H421" s="2">
        <v>30452</v>
      </c>
      <c r="I421" s="1">
        <v>43770</v>
      </c>
      <c r="J421" t="s">
        <v>30</v>
      </c>
      <c r="K421">
        <v>2019</v>
      </c>
      <c r="L421" s="2"/>
    </row>
    <row r="422" spans="1:12" x14ac:dyDescent="0.3">
      <c r="A422" t="s">
        <v>14</v>
      </c>
      <c r="B422" t="s">
        <v>11</v>
      </c>
      <c r="C422" t="s">
        <v>6</v>
      </c>
      <c r="D422" s="2">
        <v>21300</v>
      </c>
      <c r="E422" s="2">
        <v>1917</v>
      </c>
      <c r="F422" s="2">
        <v>19383</v>
      </c>
      <c r="G422" s="2">
        <v>5325</v>
      </c>
      <c r="H422" s="2">
        <v>14058</v>
      </c>
      <c r="I422" s="1">
        <v>43405</v>
      </c>
      <c r="J422" t="s">
        <v>30</v>
      </c>
      <c r="K422">
        <v>2018</v>
      </c>
      <c r="L422" s="2"/>
    </row>
    <row r="423" spans="1:12" x14ac:dyDescent="0.3">
      <c r="A423" t="s">
        <v>17</v>
      </c>
      <c r="B423" t="s">
        <v>12</v>
      </c>
      <c r="C423" t="s">
        <v>6</v>
      </c>
      <c r="D423" s="2">
        <v>349625</v>
      </c>
      <c r="E423" s="2">
        <v>31466.25</v>
      </c>
      <c r="F423" s="2">
        <v>318158.75</v>
      </c>
      <c r="G423" s="2">
        <v>335640</v>
      </c>
      <c r="H423" s="2">
        <v>-17481.25</v>
      </c>
      <c r="I423" s="1">
        <v>43800</v>
      </c>
      <c r="J423" t="s">
        <v>24</v>
      </c>
      <c r="K423">
        <v>2019</v>
      </c>
      <c r="L423" s="2"/>
    </row>
    <row r="424" spans="1:12" x14ac:dyDescent="0.3">
      <c r="A424" t="s">
        <v>16</v>
      </c>
      <c r="B424" t="s">
        <v>32</v>
      </c>
      <c r="C424" t="s">
        <v>7</v>
      </c>
      <c r="D424" s="2">
        <v>3675</v>
      </c>
      <c r="E424" s="2">
        <v>330.75</v>
      </c>
      <c r="F424" s="2">
        <v>3344.25</v>
      </c>
      <c r="G424" s="2">
        <v>2450</v>
      </c>
      <c r="H424" s="2">
        <v>894.25</v>
      </c>
      <c r="I424" s="1">
        <v>43586</v>
      </c>
      <c r="J424" t="s">
        <v>31</v>
      </c>
      <c r="K424">
        <v>2019</v>
      </c>
      <c r="L424" s="2"/>
    </row>
    <row r="425" spans="1:12" x14ac:dyDescent="0.3">
      <c r="A425" t="s">
        <v>13</v>
      </c>
      <c r="B425" t="s">
        <v>10</v>
      </c>
      <c r="C425" t="s">
        <v>7</v>
      </c>
      <c r="D425" s="2">
        <v>1138050</v>
      </c>
      <c r="E425" s="2">
        <v>102424.5</v>
      </c>
      <c r="F425" s="2">
        <v>1035625.5</v>
      </c>
      <c r="G425" s="2">
        <v>948375</v>
      </c>
      <c r="H425" s="2">
        <v>87250.5</v>
      </c>
      <c r="I425" s="1">
        <v>43647</v>
      </c>
      <c r="J425" t="s">
        <v>26</v>
      </c>
      <c r="K425">
        <v>2019</v>
      </c>
      <c r="L425" s="2"/>
    </row>
    <row r="426" spans="1:12" x14ac:dyDescent="0.3">
      <c r="A426" t="s">
        <v>3</v>
      </c>
      <c r="B426" t="s">
        <v>11</v>
      </c>
      <c r="C426" t="s">
        <v>7</v>
      </c>
      <c r="D426" s="2">
        <v>457450</v>
      </c>
      <c r="E426" s="2">
        <v>41170.5</v>
      </c>
      <c r="F426" s="2">
        <v>416279.5</v>
      </c>
      <c r="G426" s="2">
        <v>339820</v>
      </c>
      <c r="H426" s="2">
        <v>76459.5</v>
      </c>
      <c r="I426" s="1">
        <v>43647</v>
      </c>
      <c r="J426" t="s">
        <v>26</v>
      </c>
      <c r="K426">
        <v>2019</v>
      </c>
      <c r="L426" s="2"/>
    </row>
    <row r="427" spans="1:12" x14ac:dyDescent="0.3">
      <c r="A427" t="s">
        <v>17</v>
      </c>
      <c r="B427" t="s">
        <v>10</v>
      </c>
      <c r="C427" t="s">
        <v>7</v>
      </c>
      <c r="D427" s="2">
        <v>70875</v>
      </c>
      <c r="E427" s="2">
        <v>6378.75</v>
      </c>
      <c r="F427" s="2">
        <v>64496.25</v>
      </c>
      <c r="G427" s="2">
        <v>68040</v>
      </c>
      <c r="H427" s="2">
        <v>-3543.75</v>
      </c>
      <c r="I427" s="1">
        <v>43709</v>
      </c>
      <c r="J427" t="s">
        <v>28</v>
      </c>
      <c r="K427">
        <v>2019</v>
      </c>
      <c r="L427" s="2"/>
    </row>
    <row r="428" spans="1:12" x14ac:dyDescent="0.3">
      <c r="A428" t="s">
        <v>17</v>
      </c>
      <c r="B428" t="s">
        <v>32</v>
      </c>
      <c r="C428" t="s">
        <v>7</v>
      </c>
      <c r="D428" s="2">
        <v>263750</v>
      </c>
      <c r="E428" s="2">
        <v>23737.5</v>
      </c>
      <c r="F428" s="2">
        <v>240012.5</v>
      </c>
      <c r="G428" s="2">
        <v>253200</v>
      </c>
      <c r="H428" s="2">
        <v>-13187.5</v>
      </c>
      <c r="I428" s="1">
        <v>43709</v>
      </c>
      <c r="J428" t="s">
        <v>28</v>
      </c>
      <c r="K428">
        <v>2019</v>
      </c>
      <c r="L428" s="2"/>
    </row>
    <row r="429" spans="1:12" x14ac:dyDescent="0.3">
      <c r="A429" t="s">
        <v>3</v>
      </c>
      <c r="B429" t="s">
        <v>10</v>
      </c>
      <c r="C429" t="s">
        <v>7</v>
      </c>
      <c r="D429" s="2">
        <v>444150</v>
      </c>
      <c r="E429" s="2">
        <v>39973.5</v>
      </c>
      <c r="F429" s="2">
        <v>404176.5</v>
      </c>
      <c r="G429" s="2">
        <v>329940</v>
      </c>
      <c r="H429" s="2">
        <v>74236.5</v>
      </c>
      <c r="I429" s="1">
        <v>43739</v>
      </c>
      <c r="J429" t="s">
        <v>29</v>
      </c>
      <c r="K429">
        <v>2019</v>
      </c>
      <c r="L429" s="2"/>
    </row>
    <row r="430" spans="1:12" x14ac:dyDescent="0.3">
      <c r="A430" t="s">
        <v>14</v>
      </c>
      <c r="B430" t="s">
        <v>12</v>
      </c>
      <c r="C430" t="s">
        <v>8</v>
      </c>
      <c r="D430" s="2">
        <v>23472</v>
      </c>
      <c r="E430" s="2">
        <v>2112.48</v>
      </c>
      <c r="F430" s="2">
        <v>21359.52</v>
      </c>
      <c r="G430" s="2">
        <v>5868</v>
      </c>
      <c r="H430" s="2">
        <v>15491.52</v>
      </c>
      <c r="I430" s="1">
        <v>43466</v>
      </c>
      <c r="J430" t="s">
        <v>21</v>
      </c>
      <c r="K430">
        <v>2019</v>
      </c>
      <c r="L430" s="2"/>
    </row>
    <row r="431" spans="1:12" x14ac:dyDescent="0.3">
      <c r="A431" t="s">
        <v>13</v>
      </c>
      <c r="B431" t="s">
        <v>11</v>
      </c>
      <c r="C431" t="s">
        <v>8</v>
      </c>
      <c r="D431" s="2">
        <v>797700</v>
      </c>
      <c r="E431" s="2">
        <v>71793</v>
      </c>
      <c r="F431" s="2">
        <v>725907</v>
      </c>
      <c r="G431" s="2">
        <v>664750</v>
      </c>
      <c r="H431" s="2">
        <v>61157</v>
      </c>
      <c r="I431" s="1">
        <v>43497</v>
      </c>
      <c r="J431" t="s">
        <v>22</v>
      </c>
      <c r="K431">
        <v>2019</v>
      </c>
      <c r="L431" s="2"/>
    </row>
    <row r="432" spans="1:12" x14ac:dyDescent="0.3">
      <c r="A432" t="s">
        <v>3</v>
      </c>
      <c r="B432" t="s">
        <v>12</v>
      </c>
      <c r="C432" t="s">
        <v>8</v>
      </c>
      <c r="D432" s="2">
        <v>473025</v>
      </c>
      <c r="E432" s="2">
        <v>42572.25</v>
      </c>
      <c r="F432" s="2">
        <v>430452.75</v>
      </c>
      <c r="G432" s="2">
        <v>351390</v>
      </c>
      <c r="H432" s="2">
        <v>79062.75</v>
      </c>
      <c r="I432" s="1">
        <v>43556</v>
      </c>
      <c r="J432" t="s">
        <v>38</v>
      </c>
      <c r="K432">
        <v>2019</v>
      </c>
      <c r="L432" s="2"/>
    </row>
    <row r="433" spans="1:12" x14ac:dyDescent="0.3">
      <c r="A433" t="s">
        <v>14</v>
      </c>
      <c r="B433" t="s">
        <v>11</v>
      </c>
      <c r="C433" t="s">
        <v>8</v>
      </c>
      <c r="D433" s="2">
        <v>10560</v>
      </c>
      <c r="E433" s="2">
        <v>950.4</v>
      </c>
      <c r="F433" s="2">
        <v>9609.6</v>
      </c>
      <c r="G433" s="2">
        <v>2640</v>
      </c>
      <c r="H433" s="2">
        <v>6969.6</v>
      </c>
      <c r="I433" s="1">
        <v>43586</v>
      </c>
      <c r="J433" t="s">
        <v>31</v>
      </c>
      <c r="K433">
        <v>2019</v>
      </c>
      <c r="L433" s="2"/>
    </row>
    <row r="434" spans="1:12" x14ac:dyDescent="0.3">
      <c r="A434" t="s">
        <v>13</v>
      </c>
      <c r="B434" t="s">
        <v>12</v>
      </c>
      <c r="C434" t="s">
        <v>8</v>
      </c>
      <c r="D434" s="2">
        <v>560100</v>
      </c>
      <c r="E434" s="2">
        <v>50409</v>
      </c>
      <c r="F434" s="2">
        <v>509691</v>
      </c>
      <c r="G434" s="2">
        <v>466750</v>
      </c>
      <c r="H434" s="2">
        <v>42941</v>
      </c>
      <c r="I434" s="1">
        <v>43709</v>
      </c>
      <c r="J434" t="s">
        <v>28</v>
      </c>
      <c r="K434">
        <v>2019</v>
      </c>
      <c r="L434" s="2"/>
    </row>
    <row r="435" spans="1:12" x14ac:dyDescent="0.3">
      <c r="A435" t="s">
        <v>14</v>
      </c>
      <c r="B435" t="s">
        <v>33</v>
      </c>
      <c r="C435" t="s">
        <v>8</v>
      </c>
      <c r="D435" s="2">
        <v>26808</v>
      </c>
      <c r="E435" s="2">
        <v>2412.7199999999998</v>
      </c>
      <c r="F435" s="2">
        <v>24395.279999999999</v>
      </c>
      <c r="G435" s="2">
        <v>6702</v>
      </c>
      <c r="H435" s="2">
        <v>17693.28</v>
      </c>
      <c r="I435" s="1">
        <v>43344</v>
      </c>
      <c r="J435" t="s">
        <v>28</v>
      </c>
      <c r="K435">
        <v>2018</v>
      </c>
      <c r="L435" s="2"/>
    </row>
    <row r="436" spans="1:12" x14ac:dyDescent="0.3">
      <c r="A436" t="s">
        <v>16</v>
      </c>
      <c r="B436" t="s">
        <v>33</v>
      </c>
      <c r="C436" t="s">
        <v>8</v>
      </c>
      <c r="D436" s="2">
        <v>18405</v>
      </c>
      <c r="E436" s="2">
        <v>1656.45</v>
      </c>
      <c r="F436" s="2">
        <v>16748.55</v>
      </c>
      <c r="G436" s="2">
        <v>12270</v>
      </c>
      <c r="H436" s="2">
        <v>4478.5499999999993</v>
      </c>
      <c r="I436" s="1">
        <v>43739</v>
      </c>
      <c r="J436" t="s">
        <v>29</v>
      </c>
      <c r="K436">
        <v>2019</v>
      </c>
      <c r="L436" s="2"/>
    </row>
    <row r="437" spans="1:12" x14ac:dyDescent="0.3">
      <c r="A437" t="s">
        <v>17</v>
      </c>
      <c r="B437" t="s">
        <v>32</v>
      </c>
      <c r="C437" t="s">
        <v>8</v>
      </c>
      <c r="D437" s="2">
        <v>109625</v>
      </c>
      <c r="E437" s="2">
        <v>9866.25</v>
      </c>
      <c r="F437" s="2">
        <v>99758.75</v>
      </c>
      <c r="G437" s="2">
        <v>105240</v>
      </c>
      <c r="H437" s="2">
        <v>-5481.25</v>
      </c>
      <c r="I437" s="1">
        <v>43770</v>
      </c>
      <c r="J437" t="s">
        <v>30</v>
      </c>
      <c r="K437">
        <v>2019</v>
      </c>
      <c r="L437" s="2"/>
    </row>
    <row r="438" spans="1:12" x14ac:dyDescent="0.3">
      <c r="A438" t="s">
        <v>3</v>
      </c>
      <c r="B438" t="s">
        <v>12</v>
      </c>
      <c r="C438" t="s">
        <v>9</v>
      </c>
      <c r="D438" s="2">
        <v>724850</v>
      </c>
      <c r="E438" s="2">
        <v>65236.5</v>
      </c>
      <c r="F438" s="2">
        <v>659613.5</v>
      </c>
      <c r="G438" s="2">
        <v>538460</v>
      </c>
      <c r="H438" s="2">
        <v>121153.5</v>
      </c>
      <c r="I438" s="1">
        <v>43709</v>
      </c>
      <c r="J438" t="s">
        <v>28</v>
      </c>
      <c r="K438">
        <v>2019</v>
      </c>
      <c r="L438" s="2"/>
    </row>
    <row r="439" spans="1:12" x14ac:dyDescent="0.3">
      <c r="A439" t="s">
        <v>3</v>
      </c>
      <c r="B439" t="s">
        <v>10</v>
      </c>
      <c r="C439" t="s">
        <v>9</v>
      </c>
      <c r="D439" s="2">
        <v>444150</v>
      </c>
      <c r="E439" s="2">
        <v>39973.5</v>
      </c>
      <c r="F439" s="2">
        <v>404176.5</v>
      </c>
      <c r="G439" s="2">
        <v>329940</v>
      </c>
      <c r="H439" s="2">
        <v>74236.5</v>
      </c>
      <c r="I439" s="1">
        <v>43739</v>
      </c>
      <c r="J439" t="s">
        <v>29</v>
      </c>
      <c r="K439">
        <v>2019</v>
      </c>
      <c r="L439" s="2"/>
    </row>
    <row r="440" spans="1:12" x14ac:dyDescent="0.3">
      <c r="A440" t="s">
        <v>16</v>
      </c>
      <c r="B440" t="s">
        <v>11</v>
      </c>
      <c r="C440" t="s">
        <v>9</v>
      </c>
      <c r="D440" s="2">
        <v>14550</v>
      </c>
      <c r="E440" s="2">
        <v>1309.5</v>
      </c>
      <c r="F440" s="2">
        <v>13240.5</v>
      </c>
      <c r="G440" s="2">
        <v>9700</v>
      </c>
      <c r="H440" s="2">
        <v>3540.5</v>
      </c>
      <c r="I440" s="1">
        <v>43405</v>
      </c>
      <c r="J440" t="s">
        <v>30</v>
      </c>
      <c r="K440">
        <v>2018</v>
      </c>
      <c r="L440" s="2"/>
    </row>
    <row r="441" spans="1:12" x14ac:dyDescent="0.3">
      <c r="A441" t="s">
        <v>3</v>
      </c>
      <c r="B441" t="s">
        <v>32</v>
      </c>
      <c r="C441" t="s">
        <v>9</v>
      </c>
      <c r="D441" s="2">
        <v>33880</v>
      </c>
      <c r="E441" s="2">
        <v>3049.2</v>
      </c>
      <c r="F441" s="2">
        <v>30830.799999999999</v>
      </c>
      <c r="G441" s="2">
        <v>16940</v>
      </c>
      <c r="H441" s="2">
        <v>13890.8</v>
      </c>
      <c r="I441" s="1">
        <v>43770</v>
      </c>
      <c r="J441" t="s">
        <v>30</v>
      </c>
      <c r="K441">
        <v>2019</v>
      </c>
      <c r="L441" s="2"/>
    </row>
    <row r="442" spans="1:12" x14ac:dyDescent="0.3">
      <c r="A442" t="s">
        <v>3</v>
      </c>
      <c r="B442" t="s">
        <v>11</v>
      </c>
      <c r="C442" t="s">
        <v>2</v>
      </c>
      <c r="D442" s="2">
        <v>13260</v>
      </c>
      <c r="E442" s="2">
        <v>1193.4000000000001</v>
      </c>
      <c r="F442" s="2">
        <v>12066.6</v>
      </c>
      <c r="G442" s="2">
        <v>7293.0000000000009</v>
      </c>
      <c r="H442" s="2">
        <v>4773.5999999999995</v>
      </c>
      <c r="I442" s="1">
        <v>43586</v>
      </c>
      <c r="J442" t="s">
        <v>31</v>
      </c>
      <c r="K442">
        <v>2019</v>
      </c>
      <c r="L442" s="2"/>
    </row>
    <row r="443" spans="1:12" x14ac:dyDescent="0.3">
      <c r="A443" t="s">
        <v>3</v>
      </c>
      <c r="B443" t="s">
        <v>10</v>
      </c>
      <c r="C443" t="s">
        <v>2</v>
      </c>
      <c r="D443" s="2">
        <v>5733</v>
      </c>
      <c r="E443" s="2">
        <v>515.97</v>
      </c>
      <c r="F443" s="2">
        <v>5217.03</v>
      </c>
      <c r="G443" s="2">
        <v>4504.5</v>
      </c>
      <c r="H443" s="2">
        <v>712.52999999999975</v>
      </c>
      <c r="I443" s="1">
        <v>43647</v>
      </c>
      <c r="J443" t="s">
        <v>26</v>
      </c>
      <c r="K443">
        <v>2019</v>
      </c>
      <c r="L443" s="2"/>
    </row>
    <row r="444" spans="1:12" x14ac:dyDescent="0.3">
      <c r="A444" t="s">
        <v>14</v>
      </c>
      <c r="B444" t="s">
        <v>11</v>
      </c>
      <c r="C444" t="s">
        <v>2</v>
      </c>
      <c r="D444" s="2">
        <v>18960</v>
      </c>
      <c r="E444" s="2">
        <v>1706.4</v>
      </c>
      <c r="F444" s="2">
        <v>17253.599999999999</v>
      </c>
      <c r="G444" s="2">
        <v>5214</v>
      </c>
      <c r="H444" s="2">
        <v>12039.599999999999</v>
      </c>
      <c r="I444" s="1">
        <v>43709</v>
      </c>
      <c r="J444" t="s">
        <v>28</v>
      </c>
      <c r="K444">
        <v>2019</v>
      </c>
      <c r="L444" s="2"/>
    </row>
    <row r="445" spans="1:12" x14ac:dyDescent="0.3">
      <c r="A445" t="s">
        <v>3</v>
      </c>
      <c r="B445" t="s">
        <v>32</v>
      </c>
      <c r="C445" t="s">
        <v>2</v>
      </c>
      <c r="D445" s="2">
        <v>3647</v>
      </c>
      <c r="E445" s="2">
        <v>328.23</v>
      </c>
      <c r="F445" s="2">
        <v>3318.77</v>
      </c>
      <c r="G445" s="2">
        <v>2865.5000000000005</v>
      </c>
      <c r="H445" s="2">
        <v>453.26999999999953</v>
      </c>
      <c r="I445" s="1">
        <v>43800</v>
      </c>
      <c r="J445" t="s">
        <v>24</v>
      </c>
      <c r="K445">
        <v>2019</v>
      </c>
      <c r="L445" s="2"/>
    </row>
    <row r="446" spans="1:12" x14ac:dyDescent="0.3">
      <c r="A446" t="s">
        <v>3</v>
      </c>
      <c r="B446" t="s">
        <v>12</v>
      </c>
      <c r="C446" t="s">
        <v>6</v>
      </c>
      <c r="D446" s="2">
        <v>19460</v>
      </c>
      <c r="E446" s="2">
        <v>1751.4</v>
      </c>
      <c r="F446" s="2">
        <v>17708.599999999999</v>
      </c>
      <c r="G446" s="2">
        <v>9730</v>
      </c>
      <c r="H446" s="2">
        <v>7978.5999999999985</v>
      </c>
      <c r="I446" s="1">
        <v>43525</v>
      </c>
      <c r="J446" t="s">
        <v>25</v>
      </c>
      <c r="K446">
        <v>2019</v>
      </c>
      <c r="L446" s="2"/>
    </row>
    <row r="447" spans="1:12" x14ac:dyDescent="0.3">
      <c r="A447" t="s">
        <v>3</v>
      </c>
      <c r="B447" t="s">
        <v>32</v>
      </c>
      <c r="C447" t="s">
        <v>6</v>
      </c>
      <c r="D447" s="2">
        <v>20760</v>
      </c>
      <c r="E447" s="2">
        <v>1868.4</v>
      </c>
      <c r="F447" s="2">
        <v>18891.599999999999</v>
      </c>
      <c r="G447" s="2">
        <v>10380</v>
      </c>
      <c r="H447" s="2">
        <v>8511.5999999999985</v>
      </c>
      <c r="I447" s="1">
        <v>43617</v>
      </c>
      <c r="J447" t="s">
        <v>23</v>
      </c>
      <c r="K447">
        <v>2019</v>
      </c>
      <c r="L447" s="2"/>
    </row>
    <row r="448" spans="1:12" x14ac:dyDescent="0.3">
      <c r="A448" t="s">
        <v>3</v>
      </c>
      <c r="B448" t="s">
        <v>11</v>
      </c>
      <c r="C448" t="s">
        <v>6</v>
      </c>
      <c r="D448" s="2">
        <v>2520</v>
      </c>
      <c r="E448" s="2">
        <v>226.8</v>
      </c>
      <c r="F448" s="2">
        <v>2293.1999999999998</v>
      </c>
      <c r="G448" s="2">
        <v>1800</v>
      </c>
      <c r="H448" s="2">
        <v>493.19999999999982</v>
      </c>
      <c r="I448" s="1">
        <v>43739</v>
      </c>
      <c r="J448" t="s">
        <v>29</v>
      </c>
      <c r="K448">
        <v>2019</v>
      </c>
      <c r="L448" s="2"/>
    </row>
    <row r="449" spans="1:12" x14ac:dyDescent="0.3">
      <c r="A449" t="s">
        <v>14</v>
      </c>
      <c r="B449" t="s">
        <v>33</v>
      </c>
      <c r="C449" t="s">
        <v>7</v>
      </c>
      <c r="D449" s="2">
        <v>23604</v>
      </c>
      <c r="E449" s="2">
        <v>2124.36</v>
      </c>
      <c r="F449" s="2">
        <v>21479.64</v>
      </c>
      <c r="G449" s="2">
        <v>5901</v>
      </c>
      <c r="H449" s="2">
        <v>15578.64</v>
      </c>
      <c r="I449" s="1">
        <v>43525</v>
      </c>
      <c r="J449" t="s">
        <v>25</v>
      </c>
      <c r="K449">
        <v>2019</v>
      </c>
      <c r="L449" s="2"/>
    </row>
    <row r="450" spans="1:12" x14ac:dyDescent="0.3">
      <c r="A450" t="s">
        <v>16</v>
      </c>
      <c r="B450" t="s">
        <v>32</v>
      </c>
      <c r="C450" t="s">
        <v>7</v>
      </c>
      <c r="D450" s="2">
        <v>39420</v>
      </c>
      <c r="E450" s="2">
        <v>3547.8</v>
      </c>
      <c r="F450" s="2">
        <v>35872.199999999997</v>
      </c>
      <c r="G450" s="2">
        <v>26280</v>
      </c>
      <c r="H450" s="2">
        <v>9592.1999999999971</v>
      </c>
      <c r="I450" s="1">
        <v>43556</v>
      </c>
      <c r="J450" t="s">
        <v>38</v>
      </c>
      <c r="K450">
        <v>2019</v>
      </c>
      <c r="L450" s="2"/>
    </row>
    <row r="451" spans="1:12" x14ac:dyDescent="0.3">
      <c r="A451" t="s">
        <v>3</v>
      </c>
      <c r="B451" t="s">
        <v>11</v>
      </c>
      <c r="C451" t="s">
        <v>8</v>
      </c>
      <c r="D451" s="2">
        <v>2520</v>
      </c>
      <c r="E451" s="2">
        <v>226.8</v>
      </c>
      <c r="F451" s="2">
        <v>2293.1999999999998</v>
      </c>
      <c r="G451" s="2">
        <v>1800</v>
      </c>
      <c r="H451" s="2">
        <v>493.19999999999982</v>
      </c>
      <c r="I451" s="1">
        <v>43739</v>
      </c>
      <c r="J451" t="s">
        <v>29</v>
      </c>
      <c r="K451">
        <v>2019</v>
      </c>
      <c r="L451" s="2"/>
    </row>
    <row r="452" spans="1:12" x14ac:dyDescent="0.3">
      <c r="A452" t="s">
        <v>3</v>
      </c>
      <c r="B452" t="s">
        <v>33</v>
      </c>
      <c r="C452" t="s">
        <v>8</v>
      </c>
      <c r="D452" s="2">
        <v>53640</v>
      </c>
      <c r="E452" s="2">
        <v>4827.6000000000004</v>
      </c>
      <c r="F452" s="2">
        <v>48812.4</v>
      </c>
      <c r="G452" s="2">
        <v>26820</v>
      </c>
      <c r="H452" s="2">
        <v>21992.400000000001</v>
      </c>
      <c r="I452" s="1">
        <v>43405</v>
      </c>
      <c r="J452" t="s">
        <v>30</v>
      </c>
      <c r="K452">
        <v>2018</v>
      </c>
      <c r="L452" s="2"/>
    </row>
    <row r="453" spans="1:12" x14ac:dyDescent="0.3">
      <c r="A453" t="s">
        <v>3</v>
      </c>
      <c r="B453" t="s">
        <v>32</v>
      </c>
      <c r="C453" t="s">
        <v>8</v>
      </c>
      <c r="D453" s="2">
        <v>3647</v>
      </c>
      <c r="E453" s="2">
        <v>328.23</v>
      </c>
      <c r="F453" s="2">
        <v>3318.77</v>
      </c>
      <c r="G453" s="2">
        <v>2605</v>
      </c>
      <c r="H453" s="2">
        <v>713.77</v>
      </c>
      <c r="I453" s="1">
        <v>43800</v>
      </c>
      <c r="J453" t="s">
        <v>24</v>
      </c>
      <c r="K453">
        <v>2019</v>
      </c>
      <c r="L453" s="2"/>
    </row>
    <row r="454" spans="1:12" x14ac:dyDescent="0.3">
      <c r="A454" t="s">
        <v>3</v>
      </c>
      <c r="B454" t="s">
        <v>32</v>
      </c>
      <c r="C454" t="s">
        <v>9</v>
      </c>
      <c r="D454" s="2">
        <v>20760</v>
      </c>
      <c r="E454" s="2">
        <v>1868.4</v>
      </c>
      <c r="F454" s="2">
        <v>18891.599999999999</v>
      </c>
      <c r="G454" s="2">
        <v>10380</v>
      </c>
      <c r="H454" s="2">
        <v>8511.5999999999985</v>
      </c>
      <c r="I454" s="1">
        <v>43617</v>
      </c>
      <c r="J454" t="s">
        <v>23</v>
      </c>
      <c r="K454">
        <v>2019</v>
      </c>
      <c r="L454" s="2"/>
    </row>
    <row r="455" spans="1:12" x14ac:dyDescent="0.3">
      <c r="A455" t="s">
        <v>16</v>
      </c>
      <c r="B455" t="s">
        <v>10</v>
      </c>
      <c r="C455" t="s">
        <v>9</v>
      </c>
      <c r="D455" s="2">
        <v>24457.5</v>
      </c>
      <c r="E455" s="2">
        <v>2201.1750000000002</v>
      </c>
      <c r="F455" s="2">
        <v>22256.324999999997</v>
      </c>
      <c r="G455" s="2">
        <v>16305</v>
      </c>
      <c r="H455" s="2">
        <v>5951.3249999999971</v>
      </c>
      <c r="I455" s="1">
        <v>43647</v>
      </c>
      <c r="J455" t="s">
        <v>26</v>
      </c>
      <c r="K455">
        <v>2019</v>
      </c>
      <c r="L455" s="2"/>
    </row>
    <row r="456" spans="1:12" x14ac:dyDescent="0.3">
      <c r="A456" t="s">
        <v>14</v>
      </c>
      <c r="B456" t="s">
        <v>33</v>
      </c>
      <c r="C456" t="s">
        <v>9</v>
      </c>
      <c r="D456" s="2">
        <v>3672</v>
      </c>
      <c r="E456" s="2">
        <v>330.48</v>
      </c>
      <c r="F456" s="2">
        <v>3341.52</v>
      </c>
      <c r="G456" s="2">
        <v>918</v>
      </c>
      <c r="H456" s="2">
        <v>2423.52</v>
      </c>
      <c r="I456" s="1">
        <v>43435</v>
      </c>
      <c r="J456" t="s">
        <v>24</v>
      </c>
      <c r="K456">
        <v>2018</v>
      </c>
      <c r="L456" s="2"/>
    </row>
    <row r="457" spans="1:12" x14ac:dyDescent="0.3">
      <c r="A457" t="s">
        <v>14</v>
      </c>
      <c r="B457" t="s">
        <v>12</v>
      </c>
      <c r="C457" t="s">
        <v>2</v>
      </c>
      <c r="D457" s="2">
        <v>4632</v>
      </c>
      <c r="E457" s="2">
        <v>463.2</v>
      </c>
      <c r="F457" s="2">
        <v>4168.8</v>
      </c>
      <c r="G457" s="2">
        <v>1273.8000000000002</v>
      </c>
      <c r="H457" s="2">
        <v>2895</v>
      </c>
      <c r="I457" s="1">
        <v>43374</v>
      </c>
      <c r="J457" t="s">
        <v>29</v>
      </c>
      <c r="K457">
        <v>2018</v>
      </c>
      <c r="L457" s="2"/>
    </row>
    <row r="458" spans="1:12" x14ac:dyDescent="0.3">
      <c r="A458" t="s">
        <v>3</v>
      </c>
      <c r="B458" t="s">
        <v>12</v>
      </c>
      <c r="C458" t="s">
        <v>5</v>
      </c>
      <c r="D458" s="2">
        <v>16296</v>
      </c>
      <c r="E458" s="2">
        <v>1629.6</v>
      </c>
      <c r="F458" s="2">
        <v>14666.4</v>
      </c>
      <c r="G458" s="2">
        <v>11640</v>
      </c>
      <c r="H458" s="2">
        <v>3026.3999999999996</v>
      </c>
      <c r="I458" s="1">
        <v>43709</v>
      </c>
      <c r="J458" t="s">
        <v>28</v>
      </c>
      <c r="K458">
        <v>2019</v>
      </c>
      <c r="L458" s="2"/>
    </row>
    <row r="459" spans="1:12" x14ac:dyDescent="0.3">
      <c r="A459" t="s">
        <v>14</v>
      </c>
      <c r="B459" t="s">
        <v>12</v>
      </c>
      <c r="C459" t="s">
        <v>6</v>
      </c>
      <c r="D459" s="2">
        <v>4632</v>
      </c>
      <c r="E459" s="2">
        <v>463.2</v>
      </c>
      <c r="F459" s="2">
        <v>4168.8</v>
      </c>
      <c r="G459" s="2">
        <v>1158</v>
      </c>
      <c r="H459" s="2">
        <v>3010.8</v>
      </c>
      <c r="I459" s="1">
        <v>43374</v>
      </c>
      <c r="J459" t="s">
        <v>29</v>
      </c>
      <c r="K459">
        <v>2018</v>
      </c>
      <c r="L459" s="2"/>
    </row>
    <row r="460" spans="1:12" x14ac:dyDescent="0.3">
      <c r="A460" t="s">
        <v>17</v>
      </c>
      <c r="B460" t="s">
        <v>12</v>
      </c>
      <c r="C460" t="s">
        <v>2</v>
      </c>
      <c r="D460" s="2">
        <v>430687.5</v>
      </c>
      <c r="E460" s="2">
        <v>43068.75</v>
      </c>
      <c r="F460" s="2">
        <v>387618.75</v>
      </c>
      <c r="G460" s="2">
        <v>454806.00000000006</v>
      </c>
      <c r="H460" s="2">
        <v>-67187.250000000058</v>
      </c>
      <c r="I460" s="1">
        <v>43556</v>
      </c>
      <c r="J460" t="s">
        <v>38</v>
      </c>
      <c r="K460">
        <v>2019</v>
      </c>
      <c r="L460" s="2"/>
    </row>
    <row r="461" spans="1:12" x14ac:dyDescent="0.3">
      <c r="A461" t="s">
        <v>17</v>
      </c>
      <c r="B461" t="s">
        <v>33</v>
      </c>
      <c r="C461" t="s">
        <v>2</v>
      </c>
      <c r="D461" s="2">
        <v>185250</v>
      </c>
      <c r="E461" s="2">
        <v>18525</v>
      </c>
      <c r="F461" s="2">
        <v>166725</v>
      </c>
      <c r="G461" s="2">
        <v>195624.00000000003</v>
      </c>
      <c r="H461" s="2">
        <v>-28899.000000000029</v>
      </c>
      <c r="I461" s="1">
        <v>43435</v>
      </c>
      <c r="J461" t="s">
        <v>24</v>
      </c>
      <c r="K461">
        <v>2018</v>
      </c>
      <c r="L461" s="2"/>
    </row>
    <row r="462" spans="1:12" x14ac:dyDescent="0.3">
      <c r="A462" t="s">
        <v>3</v>
      </c>
      <c r="B462" t="s">
        <v>12</v>
      </c>
      <c r="C462" t="s">
        <v>5</v>
      </c>
      <c r="D462" s="2">
        <v>809550</v>
      </c>
      <c r="E462" s="2">
        <v>80955</v>
      </c>
      <c r="F462" s="2">
        <v>728595</v>
      </c>
      <c r="G462" s="2">
        <v>601380</v>
      </c>
      <c r="H462" s="2">
        <v>127215</v>
      </c>
      <c r="I462" s="1">
        <v>43586</v>
      </c>
      <c r="J462" t="s">
        <v>31</v>
      </c>
      <c r="K462">
        <v>2019</v>
      </c>
      <c r="L462" s="2"/>
    </row>
    <row r="463" spans="1:12" x14ac:dyDescent="0.3">
      <c r="A463" t="s">
        <v>17</v>
      </c>
      <c r="B463" t="s">
        <v>12</v>
      </c>
      <c r="C463" t="s">
        <v>5</v>
      </c>
      <c r="D463" s="2">
        <v>225500</v>
      </c>
      <c r="E463" s="2">
        <v>22550</v>
      </c>
      <c r="F463" s="2">
        <v>202950</v>
      </c>
      <c r="G463" s="2">
        <v>216480</v>
      </c>
      <c r="H463" s="2">
        <v>-13530</v>
      </c>
      <c r="I463" s="1">
        <v>43405</v>
      </c>
      <c r="J463" t="s">
        <v>30</v>
      </c>
      <c r="K463">
        <v>2018</v>
      </c>
      <c r="L463" s="2"/>
    </row>
    <row r="464" spans="1:12" x14ac:dyDescent="0.3">
      <c r="A464" t="s">
        <v>16</v>
      </c>
      <c r="B464" t="s">
        <v>33</v>
      </c>
      <c r="C464" t="s">
        <v>5</v>
      </c>
      <c r="D464" s="2">
        <v>31080</v>
      </c>
      <c r="E464" s="2">
        <v>3108</v>
      </c>
      <c r="F464" s="2">
        <v>27972</v>
      </c>
      <c r="G464" s="2">
        <v>20720</v>
      </c>
      <c r="H464" s="2">
        <v>7252</v>
      </c>
      <c r="I464" s="1">
        <v>43800</v>
      </c>
      <c r="J464" t="s">
        <v>24</v>
      </c>
      <c r="K464">
        <v>2019</v>
      </c>
      <c r="L464" s="2"/>
    </row>
    <row r="465" spans="1:12" x14ac:dyDescent="0.3">
      <c r="A465" t="s">
        <v>3</v>
      </c>
      <c r="B465" t="s">
        <v>33</v>
      </c>
      <c r="C465" t="s">
        <v>6</v>
      </c>
      <c r="D465" s="2">
        <v>39080</v>
      </c>
      <c r="E465" s="2">
        <v>3908</v>
      </c>
      <c r="F465" s="2">
        <v>35172</v>
      </c>
      <c r="G465" s="2">
        <v>19540</v>
      </c>
      <c r="H465" s="2">
        <v>15632</v>
      </c>
      <c r="I465" s="1">
        <v>43525</v>
      </c>
      <c r="J465" t="s">
        <v>25</v>
      </c>
      <c r="K465">
        <v>2019</v>
      </c>
      <c r="L465" s="2"/>
    </row>
    <row r="466" spans="1:12" x14ac:dyDescent="0.3">
      <c r="A466" t="s">
        <v>13</v>
      </c>
      <c r="B466" t="s">
        <v>32</v>
      </c>
      <c r="C466" t="s">
        <v>6</v>
      </c>
      <c r="D466" s="2">
        <v>177300</v>
      </c>
      <c r="E466" s="2">
        <v>17730</v>
      </c>
      <c r="F466" s="2">
        <v>159570</v>
      </c>
      <c r="G466" s="2">
        <v>147750</v>
      </c>
      <c r="H466" s="2">
        <v>11820</v>
      </c>
      <c r="I466" s="1">
        <v>43586</v>
      </c>
      <c r="J466" t="s">
        <v>31</v>
      </c>
      <c r="K466">
        <v>2019</v>
      </c>
      <c r="L466" s="2"/>
    </row>
    <row r="467" spans="1:12" x14ac:dyDescent="0.3">
      <c r="A467" t="s">
        <v>16</v>
      </c>
      <c r="B467" t="s">
        <v>33</v>
      </c>
      <c r="C467" t="s">
        <v>6</v>
      </c>
      <c r="D467" s="2">
        <v>32505</v>
      </c>
      <c r="E467" s="2">
        <v>3250.5</v>
      </c>
      <c r="F467" s="2">
        <v>29254.5</v>
      </c>
      <c r="G467" s="2">
        <v>21670</v>
      </c>
      <c r="H467" s="2">
        <v>7584.5</v>
      </c>
      <c r="I467" s="1">
        <v>43374</v>
      </c>
      <c r="J467" t="s">
        <v>29</v>
      </c>
      <c r="K467">
        <v>2018</v>
      </c>
      <c r="L467" s="2"/>
    </row>
    <row r="468" spans="1:12" x14ac:dyDescent="0.3">
      <c r="A468" t="s">
        <v>3</v>
      </c>
      <c r="B468" t="s">
        <v>11</v>
      </c>
      <c r="C468" t="s">
        <v>6</v>
      </c>
      <c r="D468" s="2">
        <v>4820</v>
      </c>
      <c r="E468" s="2">
        <v>482</v>
      </c>
      <c r="F468" s="2">
        <v>4338</v>
      </c>
      <c r="G468" s="2">
        <v>2410</v>
      </c>
      <c r="H468" s="2">
        <v>1928</v>
      </c>
      <c r="I468" s="1">
        <v>43739</v>
      </c>
      <c r="J468" t="s">
        <v>29</v>
      </c>
      <c r="K468">
        <v>2019</v>
      </c>
      <c r="L468" s="2"/>
    </row>
    <row r="469" spans="1:12" x14ac:dyDescent="0.3">
      <c r="A469" t="s">
        <v>16</v>
      </c>
      <c r="B469" t="s">
        <v>11</v>
      </c>
      <c r="C469" t="s">
        <v>7</v>
      </c>
      <c r="D469" s="2">
        <v>10215</v>
      </c>
      <c r="E469" s="2">
        <v>1021.5</v>
      </c>
      <c r="F469" s="2">
        <v>9193.5</v>
      </c>
      <c r="G469" s="2">
        <v>6810</v>
      </c>
      <c r="H469" s="2">
        <v>2383.5</v>
      </c>
      <c r="I469" s="1">
        <v>43466</v>
      </c>
      <c r="J469" t="s">
        <v>21</v>
      </c>
      <c r="K469">
        <v>2019</v>
      </c>
      <c r="L469" s="2"/>
    </row>
    <row r="470" spans="1:12" x14ac:dyDescent="0.3">
      <c r="A470" t="s">
        <v>16</v>
      </c>
      <c r="B470" t="s">
        <v>11</v>
      </c>
      <c r="C470" t="s">
        <v>7</v>
      </c>
      <c r="D470" s="2">
        <v>7650</v>
      </c>
      <c r="E470" s="2">
        <v>765</v>
      </c>
      <c r="F470" s="2">
        <v>6885</v>
      </c>
      <c r="G470" s="2">
        <v>5100</v>
      </c>
      <c r="H470" s="2">
        <v>1785</v>
      </c>
      <c r="I470" s="1">
        <v>43556</v>
      </c>
      <c r="J470" t="s">
        <v>38</v>
      </c>
      <c r="K470">
        <v>2019</v>
      </c>
      <c r="L470" s="2"/>
    </row>
    <row r="471" spans="1:12" x14ac:dyDescent="0.3">
      <c r="A471" t="s">
        <v>16</v>
      </c>
      <c r="B471" t="s">
        <v>12</v>
      </c>
      <c r="C471" t="s">
        <v>7</v>
      </c>
      <c r="D471" s="2">
        <v>11850</v>
      </c>
      <c r="E471" s="2">
        <v>1185</v>
      </c>
      <c r="F471" s="2">
        <v>10665</v>
      </c>
      <c r="G471" s="2">
        <v>7900</v>
      </c>
      <c r="H471" s="2">
        <v>2765</v>
      </c>
      <c r="I471" s="1">
        <v>43586</v>
      </c>
      <c r="J471" t="s">
        <v>31</v>
      </c>
      <c r="K471">
        <v>2019</v>
      </c>
      <c r="L471" s="2"/>
    </row>
    <row r="472" spans="1:12" x14ac:dyDescent="0.3">
      <c r="A472" t="s">
        <v>3</v>
      </c>
      <c r="B472" t="s">
        <v>33</v>
      </c>
      <c r="C472" t="s">
        <v>7</v>
      </c>
      <c r="D472" s="2">
        <v>223650</v>
      </c>
      <c r="E472" s="2">
        <v>22365</v>
      </c>
      <c r="F472" s="2">
        <v>201285</v>
      </c>
      <c r="G472" s="2">
        <v>166140</v>
      </c>
      <c r="H472" s="2">
        <v>35145</v>
      </c>
      <c r="I472" s="1">
        <v>43647</v>
      </c>
      <c r="J472" t="s">
        <v>26</v>
      </c>
      <c r="K472">
        <v>2019</v>
      </c>
      <c r="L472" s="2"/>
    </row>
    <row r="473" spans="1:12" x14ac:dyDescent="0.3">
      <c r="A473" t="s">
        <v>17</v>
      </c>
      <c r="B473" t="s">
        <v>12</v>
      </c>
      <c r="C473" t="s">
        <v>7</v>
      </c>
      <c r="D473" s="2">
        <v>199500</v>
      </c>
      <c r="E473" s="2">
        <v>19950</v>
      </c>
      <c r="F473" s="2">
        <v>179550</v>
      </c>
      <c r="G473" s="2">
        <v>191520</v>
      </c>
      <c r="H473" s="2">
        <v>-11970</v>
      </c>
      <c r="I473" s="1">
        <v>43709</v>
      </c>
      <c r="J473" t="s">
        <v>28</v>
      </c>
      <c r="K473">
        <v>2019</v>
      </c>
      <c r="L473" s="2"/>
    </row>
    <row r="474" spans="1:12" x14ac:dyDescent="0.3">
      <c r="A474" t="s">
        <v>13</v>
      </c>
      <c r="B474" t="s">
        <v>12</v>
      </c>
      <c r="C474" t="s">
        <v>7</v>
      </c>
      <c r="D474" s="2">
        <v>688200</v>
      </c>
      <c r="E474" s="2">
        <v>68820</v>
      </c>
      <c r="F474" s="2">
        <v>619380</v>
      </c>
      <c r="G474" s="2">
        <v>573500</v>
      </c>
      <c r="H474" s="2">
        <v>45880</v>
      </c>
      <c r="I474" s="1">
        <v>43374</v>
      </c>
      <c r="J474" t="s">
        <v>29</v>
      </c>
      <c r="K474">
        <v>2018</v>
      </c>
      <c r="L474" s="2"/>
    </row>
    <row r="475" spans="1:12" x14ac:dyDescent="0.3">
      <c r="A475" t="s">
        <v>3</v>
      </c>
      <c r="B475" t="s">
        <v>11</v>
      </c>
      <c r="C475" t="s">
        <v>7</v>
      </c>
      <c r="D475" s="2">
        <v>4820</v>
      </c>
      <c r="E475" s="2">
        <v>482</v>
      </c>
      <c r="F475" s="2">
        <v>4338</v>
      </c>
      <c r="G475" s="2">
        <v>2410</v>
      </c>
      <c r="H475" s="2">
        <v>1928</v>
      </c>
      <c r="I475" s="1">
        <v>43739</v>
      </c>
      <c r="J475" t="s">
        <v>29</v>
      </c>
      <c r="K475">
        <v>2019</v>
      </c>
      <c r="L475" s="2"/>
    </row>
    <row r="476" spans="1:12" x14ac:dyDescent="0.3">
      <c r="A476" t="s">
        <v>3</v>
      </c>
      <c r="B476" t="s">
        <v>11</v>
      </c>
      <c r="C476" t="s">
        <v>7</v>
      </c>
      <c r="D476" s="2">
        <v>18655</v>
      </c>
      <c r="E476" s="2">
        <v>1865.5</v>
      </c>
      <c r="F476" s="2">
        <v>16789.5</v>
      </c>
      <c r="G476" s="2">
        <v>13325</v>
      </c>
      <c r="H476" s="2">
        <v>3464.5</v>
      </c>
      <c r="I476" s="1">
        <v>43770</v>
      </c>
      <c r="J476" t="s">
        <v>30</v>
      </c>
      <c r="K476">
        <v>2019</v>
      </c>
      <c r="L476" s="2"/>
    </row>
    <row r="477" spans="1:12" x14ac:dyDescent="0.3">
      <c r="A477" t="s">
        <v>17</v>
      </c>
      <c r="B477" t="s">
        <v>10</v>
      </c>
      <c r="C477" t="s">
        <v>7</v>
      </c>
      <c r="D477" s="2">
        <v>239500</v>
      </c>
      <c r="E477" s="2">
        <v>23950</v>
      </c>
      <c r="F477" s="2">
        <v>215550</v>
      </c>
      <c r="G477" s="2">
        <v>229920</v>
      </c>
      <c r="H477" s="2">
        <v>-14370</v>
      </c>
      <c r="I477" s="1">
        <v>43435</v>
      </c>
      <c r="J477" t="s">
        <v>24</v>
      </c>
      <c r="K477">
        <v>2018</v>
      </c>
      <c r="L477" s="2"/>
    </row>
    <row r="478" spans="1:12" x14ac:dyDescent="0.3">
      <c r="A478" t="s">
        <v>13</v>
      </c>
      <c r="B478" t="s">
        <v>33</v>
      </c>
      <c r="C478" t="s">
        <v>7</v>
      </c>
      <c r="D478" s="2">
        <v>255900</v>
      </c>
      <c r="E478" s="2">
        <v>25590</v>
      </c>
      <c r="F478" s="2">
        <v>230310</v>
      </c>
      <c r="G478" s="2">
        <v>213250</v>
      </c>
      <c r="H478" s="2">
        <v>17060</v>
      </c>
      <c r="I478" s="1">
        <v>43800</v>
      </c>
      <c r="J478" t="s">
        <v>24</v>
      </c>
      <c r="K478">
        <v>2019</v>
      </c>
      <c r="L478" s="2"/>
    </row>
    <row r="479" spans="1:12" x14ac:dyDescent="0.3">
      <c r="A479" t="s">
        <v>17</v>
      </c>
      <c r="B479" t="s">
        <v>32</v>
      </c>
      <c r="C479" t="s">
        <v>8</v>
      </c>
      <c r="D479" s="2">
        <v>42625</v>
      </c>
      <c r="E479" s="2">
        <v>4262.5</v>
      </c>
      <c r="F479" s="2">
        <v>38362.5</v>
      </c>
      <c r="G479" s="2">
        <v>40920</v>
      </c>
      <c r="H479" s="2">
        <v>-2557.5</v>
      </c>
      <c r="I479" s="1">
        <v>43586</v>
      </c>
      <c r="J479" t="s">
        <v>31</v>
      </c>
      <c r="K479">
        <v>2019</v>
      </c>
      <c r="L479" s="2"/>
    </row>
    <row r="480" spans="1:12" x14ac:dyDescent="0.3">
      <c r="A480" t="s">
        <v>16</v>
      </c>
      <c r="B480" t="s">
        <v>32</v>
      </c>
      <c r="C480" t="s">
        <v>8</v>
      </c>
      <c r="D480" s="2">
        <v>9615</v>
      </c>
      <c r="E480" s="2">
        <v>961.5</v>
      </c>
      <c r="F480" s="2">
        <v>8653.5</v>
      </c>
      <c r="G480" s="2">
        <v>6410</v>
      </c>
      <c r="H480" s="2">
        <v>2243.5</v>
      </c>
      <c r="I480" s="1">
        <v>43647</v>
      </c>
      <c r="J480" t="s">
        <v>26</v>
      </c>
      <c r="K480">
        <v>2019</v>
      </c>
      <c r="L480" s="2"/>
    </row>
    <row r="481" spans="1:12" x14ac:dyDescent="0.3">
      <c r="A481" t="s">
        <v>3</v>
      </c>
      <c r="B481" t="s">
        <v>12</v>
      </c>
      <c r="C481" t="s">
        <v>8</v>
      </c>
      <c r="D481" s="2">
        <v>982450</v>
      </c>
      <c r="E481" s="2">
        <v>98245</v>
      </c>
      <c r="F481" s="2">
        <v>884205</v>
      </c>
      <c r="G481" s="2">
        <v>729820</v>
      </c>
      <c r="H481" s="2">
        <v>154385</v>
      </c>
      <c r="I481" s="1">
        <v>43678</v>
      </c>
      <c r="J481" t="s">
        <v>27</v>
      </c>
      <c r="K481">
        <v>2019</v>
      </c>
      <c r="L481" s="2"/>
    </row>
    <row r="482" spans="1:12" x14ac:dyDescent="0.3">
      <c r="A482" t="s">
        <v>13</v>
      </c>
      <c r="B482" t="s">
        <v>32</v>
      </c>
      <c r="C482" t="s">
        <v>8</v>
      </c>
      <c r="D482" s="2">
        <v>129600</v>
      </c>
      <c r="E482" s="2">
        <v>12960</v>
      </c>
      <c r="F482" s="2">
        <v>116640</v>
      </c>
      <c r="G482" s="2">
        <v>108000</v>
      </c>
      <c r="H482" s="2">
        <v>8640</v>
      </c>
      <c r="I482" s="1">
        <v>43709</v>
      </c>
      <c r="J482" t="s">
        <v>28</v>
      </c>
      <c r="K482">
        <v>2019</v>
      </c>
      <c r="L482" s="2"/>
    </row>
    <row r="483" spans="1:12" x14ac:dyDescent="0.3">
      <c r="A483" t="s">
        <v>13</v>
      </c>
      <c r="B483" t="s">
        <v>12</v>
      </c>
      <c r="C483" t="s">
        <v>8</v>
      </c>
      <c r="D483" s="2">
        <v>688200</v>
      </c>
      <c r="E483" s="2">
        <v>68820</v>
      </c>
      <c r="F483" s="2">
        <v>619380</v>
      </c>
      <c r="G483" s="2">
        <v>573500</v>
      </c>
      <c r="H483" s="2">
        <v>45880</v>
      </c>
      <c r="I483" s="1">
        <v>43374</v>
      </c>
      <c r="J483" t="s">
        <v>29</v>
      </c>
      <c r="K483">
        <v>2018</v>
      </c>
      <c r="L483" s="2"/>
    </row>
    <row r="484" spans="1:12" x14ac:dyDescent="0.3">
      <c r="A484" t="s">
        <v>16</v>
      </c>
      <c r="B484" t="s">
        <v>33</v>
      </c>
      <c r="C484" t="s">
        <v>8</v>
      </c>
      <c r="D484" s="2">
        <v>32505</v>
      </c>
      <c r="E484" s="2">
        <v>3250.5</v>
      </c>
      <c r="F484" s="2">
        <v>29254.5</v>
      </c>
      <c r="G484" s="2">
        <v>21670</v>
      </c>
      <c r="H484" s="2">
        <v>7584.5</v>
      </c>
      <c r="I484" s="1">
        <v>43374</v>
      </c>
      <c r="J484" t="s">
        <v>29</v>
      </c>
      <c r="K484">
        <v>2018</v>
      </c>
      <c r="L484" s="2"/>
    </row>
    <row r="485" spans="1:12" x14ac:dyDescent="0.3">
      <c r="A485" t="s">
        <v>17</v>
      </c>
      <c r="B485" t="s">
        <v>10</v>
      </c>
      <c r="C485" t="s">
        <v>8</v>
      </c>
      <c r="D485" s="2">
        <v>316125</v>
      </c>
      <c r="E485" s="2">
        <v>31612.5</v>
      </c>
      <c r="F485" s="2">
        <v>284512.5</v>
      </c>
      <c r="G485" s="2">
        <v>303480</v>
      </c>
      <c r="H485" s="2">
        <v>-18967.5</v>
      </c>
      <c r="I485" s="1">
        <v>43770</v>
      </c>
      <c r="J485" t="s">
        <v>30</v>
      </c>
      <c r="K485">
        <v>2019</v>
      </c>
      <c r="L485" s="2"/>
    </row>
    <row r="486" spans="1:12" x14ac:dyDescent="0.3">
      <c r="A486" t="s">
        <v>3</v>
      </c>
      <c r="B486" t="s">
        <v>11</v>
      </c>
      <c r="C486" t="s">
        <v>8</v>
      </c>
      <c r="D486" s="2">
        <v>654500</v>
      </c>
      <c r="E486" s="2">
        <v>65450</v>
      </c>
      <c r="F486" s="2">
        <v>589050</v>
      </c>
      <c r="G486" s="2">
        <v>486200</v>
      </c>
      <c r="H486" s="2">
        <v>102850</v>
      </c>
      <c r="I486" s="1">
        <v>43435</v>
      </c>
      <c r="J486" t="s">
        <v>24</v>
      </c>
      <c r="K486">
        <v>2018</v>
      </c>
      <c r="L486" s="2"/>
    </row>
    <row r="487" spans="1:12" x14ac:dyDescent="0.3">
      <c r="A487" t="s">
        <v>17</v>
      </c>
      <c r="B487" t="s">
        <v>12</v>
      </c>
      <c r="C487" t="s">
        <v>9</v>
      </c>
      <c r="D487" s="2">
        <v>72375</v>
      </c>
      <c r="E487" s="2">
        <v>7237.5</v>
      </c>
      <c r="F487" s="2">
        <v>65137.5</v>
      </c>
      <c r="G487" s="2">
        <v>69480</v>
      </c>
      <c r="H487" s="2">
        <v>-4342.5</v>
      </c>
      <c r="I487" s="1">
        <v>43466</v>
      </c>
      <c r="J487" t="s">
        <v>21</v>
      </c>
      <c r="K487">
        <v>2019</v>
      </c>
      <c r="L487" s="2"/>
    </row>
    <row r="488" spans="1:12" x14ac:dyDescent="0.3">
      <c r="A488" t="s">
        <v>3</v>
      </c>
      <c r="B488" t="s">
        <v>10</v>
      </c>
      <c r="C488" t="s">
        <v>9</v>
      </c>
      <c r="D488" s="2">
        <v>784000</v>
      </c>
      <c r="E488" s="2">
        <v>78400</v>
      </c>
      <c r="F488" s="2">
        <v>705600</v>
      </c>
      <c r="G488" s="2">
        <v>582400</v>
      </c>
      <c r="H488" s="2">
        <v>123200</v>
      </c>
      <c r="I488" s="1">
        <v>43497</v>
      </c>
      <c r="J488" t="s">
        <v>22</v>
      </c>
      <c r="K488">
        <v>2019</v>
      </c>
      <c r="L488" s="2"/>
    </row>
    <row r="489" spans="1:12" x14ac:dyDescent="0.3">
      <c r="A489" t="s">
        <v>13</v>
      </c>
      <c r="B489" t="s">
        <v>12</v>
      </c>
      <c r="C489" t="s">
        <v>9</v>
      </c>
      <c r="D489" s="2">
        <v>897900</v>
      </c>
      <c r="E489" s="2">
        <v>89790</v>
      </c>
      <c r="F489" s="2">
        <v>808110</v>
      </c>
      <c r="G489" s="2">
        <v>748250</v>
      </c>
      <c r="H489" s="2">
        <v>59860</v>
      </c>
      <c r="I489" s="1">
        <v>43525</v>
      </c>
      <c r="J489" t="s">
        <v>25</v>
      </c>
      <c r="K489">
        <v>2019</v>
      </c>
      <c r="L489" s="2"/>
    </row>
    <row r="490" spans="1:12" x14ac:dyDescent="0.3">
      <c r="A490" t="s">
        <v>14</v>
      </c>
      <c r="B490" t="s">
        <v>10</v>
      </c>
      <c r="C490" t="s">
        <v>9</v>
      </c>
      <c r="D490" s="2">
        <v>42246</v>
      </c>
      <c r="E490" s="2">
        <v>4224.6000000000004</v>
      </c>
      <c r="F490" s="2">
        <v>38021.399999999994</v>
      </c>
      <c r="G490" s="2">
        <v>10561.5</v>
      </c>
      <c r="H490" s="2">
        <v>27459.899999999994</v>
      </c>
      <c r="I490" s="1">
        <v>43556</v>
      </c>
      <c r="J490" t="s">
        <v>38</v>
      </c>
      <c r="K490">
        <v>2019</v>
      </c>
      <c r="L490" s="2"/>
    </row>
    <row r="491" spans="1:12" x14ac:dyDescent="0.3">
      <c r="A491" t="s">
        <v>3</v>
      </c>
      <c r="B491" t="s">
        <v>32</v>
      </c>
      <c r="C491" t="s">
        <v>9</v>
      </c>
      <c r="D491" s="2">
        <v>40780</v>
      </c>
      <c r="E491" s="2">
        <v>4078</v>
      </c>
      <c r="F491" s="2">
        <v>36702</v>
      </c>
      <c r="G491" s="2">
        <v>20390</v>
      </c>
      <c r="H491" s="2">
        <v>16312</v>
      </c>
      <c r="I491" s="1">
        <v>43586</v>
      </c>
      <c r="J491" t="s">
        <v>31</v>
      </c>
      <c r="K491">
        <v>2019</v>
      </c>
      <c r="L491" s="2"/>
    </row>
    <row r="492" spans="1:12" x14ac:dyDescent="0.3">
      <c r="A492" t="s">
        <v>14</v>
      </c>
      <c r="B492" t="s">
        <v>11</v>
      </c>
      <c r="C492" t="s">
        <v>9</v>
      </c>
      <c r="D492" s="2">
        <v>30888</v>
      </c>
      <c r="E492" s="2">
        <v>3088.8</v>
      </c>
      <c r="F492" s="2">
        <v>27799.200000000001</v>
      </c>
      <c r="G492" s="2">
        <v>7722</v>
      </c>
      <c r="H492" s="2">
        <v>20077.2</v>
      </c>
      <c r="I492" s="1">
        <v>43678</v>
      </c>
      <c r="J492" t="s">
        <v>27</v>
      </c>
      <c r="K492">
        <v>2019</v>
      </c>
      <c r="L492" s="2"/>
    </row>
    <row r="493" spans="1:12" x14ac:dyDescent="0.3">
      <c r="A493" t="s">
        <v>3</v>
      </c>
      <c r="B493" t="s">
        <v>10</v>
      </c>
      <c r="C493" t="s">
        <v>9</v>
      </c>
      <c r="D493" s="2">
        <v>247450</v>
      </c>
      <c r="E493" s="2">
        <v>24745</v>
      </c>
      <c r="F493" s="2">
        <v>222705</v>
      </c>
      <c r="G493" s="2">
        <v>183820</v>
      </c>
      <c r="H493" s="2">
        <v>38885</v>
      </c>
      <c r="I493" s="1">
        <v>43709</v>
      </c>
      <c r="J493" t="s">
        <v>28</v>
      </c>
      <c r="K493">
        <v>2019</v>
      </c>
      <c r="L493" s="2"/>
    </row>
    <row r="494" spans="1:12" x14ac:dyDescent="0.3">
      <c r="A494" t="s">
        <v>16</v>
      </c>
      <c r="B494" t="s">
        <v>33</v>
      </c>
      <c r="C494" t="s">
        <v>9</v>
      </c>
      <c r="D494" s="2">
        <v>31080</v>
      </c>
      <c r="E494" s="2">
        <v>3108</v>
      </c>
      <c r="F494" s="2">
        <v>27972</v>
      </c>
      <c r="G494" s="2">
        <v>20720</v>
      </c>
      <c r="H494" s="2">
        <v>7252</v>
      </c>
      <c r="I494" s="1">
        <v>43800</v>
      </c>
      <c r="J494" t="s">
        <v>24</v>
      </c>
      <c r="K494">
        <v>2019</v>
      </c>
      <c r="L494" s="2"/>
    </row>
    <row r="495" spans="1:12" x14ac:dyDescent="0.3">
      <c r="A495" t="s">
        <v>13</v>
      </c>
      <c r="B495" t="s">
        <v>33</v>
      </c>
      <c r="C495" t="s">
        <v>9</v>
      </c>
      <c r="D495" s="2">
        <v>255900</v>
      </c>
      <c r="E495" s="2">
        <v>25590</v>
      </c>
      <c r="F495" s="2">
        <v>230310</v>
      </c>
      <c r="G495" s="2">
        <v>213250</v>
      </c>
      <c r="H495" s="2">
        <v>17060</v>
      </c>
      <c r="I495" s="1">
        <v>43800</v>
      </c>
      <c r="J495" t="s">
        <v>24</v>
      </c>
      <c r="K495">
        <v>2019</v>
      </c>
      <c r="L495" s="2"/>
    </row>
    <row r="496" spans="1:12" x14ac:dyDescent="0.3">
      <c r="A496" t="s">
        <v>14</v>
      </c>
      <c r="B496" t="s">
        <v>33</v>
      </c>
      <c r="C496" t="s">
        <v>2</v>
      </c>
      <c r="D496" s="2">
        <v>14376</v>
      </c>
      <c r="E496" s="2">
        <v>1581.36</v>
      </c>
      <c r="F496" s="2">
        <v>12794.64</v>
      </c>
      <c r="G496" s="2">
        <v>3953.4000000000005</v>
      </c>
      <c r="H496" s="2">
        <v>8841.239999999998</v>
      </c>
      <c r="I496" s="1">
        <v>43374</v>
      </c>
      <c r="J496" t="s">
        <v>29</v>
      </c>
      <c r="K496">
        <v>2018</v>
      </c>
      <c r="L496" s="2"/>
    </row>
    <row r="497" spans="1:12" x14ac:dyDescent="0.3">
      <c r="A497" t="s">
        <v>3</v>
      </c>
      <c r="B497" t="s">
        <v>33</v>
      </c>
      <c r="C497" t="s">
        <v>6</v>
      </c>
      <c r="D497" s="2">
        <v>17724</v>
      </c>
      <c r="E497" s="2">
        <v>1949.6399999999999</v>
      </c>
      <c r="F497" s="2">
        <v>15774.36</v>
      </c>
      <c r="G497" s="2">
        <v>12660</v>
      </c>
      <c r="H497" s="2">
        <v>3114.3600000000006</v>
      </c>
      <c r="I497" s="1">
        <v>43556</v>
      </c>
      <c r="J497" t="s">
        <v>38</v>
      </c>
      <c r="K497">
        <v>2019</v>
      </c>
      <c r="L497" s="2"/>
    </row>
    <row r="498" spans="1:12" x14ac:dyDescent="0.3">
      <c r="A498" t="s">
        <v>14</v>
      </c>
      <c r="B498" t="s">
        <v>33</v>
      </c>
      <c r="C498" t="s">
        <v>6</v>
      </c>
      <c r="D498" s="2">
        <v>14376</v>
      </c>
      <c r="E498" s="2">
        <v>1581.36</v>
      </c>
      <c r="F498" s="2">
        <v>12794.64</v>
      </c>
      <c r="G498" s="2">
        <v>3594</v>
      </c>
      <c r="H498" s="2">
        <v>9200.64</v>
      </c>
      <c r="I498" s="1">
        <v>43374</v>
      </c>
      <c r="J498" t="s">
        <v>29</v>
      </c>
      <c r="K498">
        <v>2018</v>
      </c>
      <c r="L498" s="2"/>
    </row>
    <row r="499" spans="1:12" x14ac:dyDescent="0.3">
      <c r="A499" t="s">
        <v>16</v>
      </c>
      <c r="B499" t="s">
        <v>10</v>
      </c>
      <c r="C499" t="s">
        <v>7</v>
      </c>
      <c r="D499" s="2">
        <v>5760</v>
      </c>
      <c r="E499" s="2">
        <v>633.59999999999991</v>
      </c>
      <c r="F499" s="2">
        <v>5126.3999999999996</v>
      </c>
      <c r="G499" s="2">
        <v>3840</v>
      </c>
      <c r="H499" s="2">
        <v>1286.3999999999996</v>
      </c>
      <c r="I499" s="1">
        <v>43466</v>
      </c>
      <c r="J499" t="s">
        <v>21</v>
      </c>
      <c r="K499">
        <v>2019</v>
      </c>
      <c r="L499" s="2"/>
    </row>
    <row r="500" spans="1:12" x14ac:dyDescent="0.3">
      <c r="A500" t="s">
        <v>14</v>
      </c>
      <c r="B500" t="s">
        <v>11</v>
      </c>
      <c r="C500" t="s">
        <v>7</v>
      </c>
      <c r="D500" s="2">
        <v>5664</v>
      </c>
      <c r="E500" s="2">
        <v>623.04</v>
      </c>
      <c r="F500" s="2">
        <v>5040.96</v>
      </c>
      <c r="G500" s="2">
        <v>1416</v>
      </c>
      <c r="H500" s="2">
        <v>3624.96</v>
      </c>
      <c r="I500" s="1">
        <v>43739</v>
      </c>
      <c r="J500" t="s">
        <v>29</v>
      </c>
      <c r="K500">
        <v>2019</v>
      </c>
      <c r="L500" s="2"/>
    </row>
    <row r="501" spans="1:12" x14ac:dyDescent="0.3">
      <c r="A501" t="s">
        <v>3</v>
      </c>
      <c r="B501" t="s">
        <v>12</v>
      </c>
      <c r="C501" t="s">
        <v>8</v>
      </c>
      <c r="D501" s="2">
        <v>11053</v>
      </c>
      <c r="E501" s="2">
        <v>1215.83</v>
      </c>
      <c r="F501" s="2">
        <v>9837.17</v>
      </c>
      <c r="G501" s="2">
        <v>7895</v>
      </c>
      <c r="H501" s="2">
        <v>1942.17</v>
      </c>
      <c r="I501" s="1">
        <v>43525</v>
      </c>
      <c r="J501" t="s">
        <v>25</v>
      </c>
      <c r="K501">
        <v>2019</v>
      </c>
      <c r="L501" s="2"/>
    </row>
    <row r="502" spans="1:12" x14ac:dyDescent="0.3">
      <c r="A502" t="s">
        <v>14</v>
      </c>
      <c r="B502" t="s">
        <v>32</v>
      </c>
      <c r="C502" t="s">
        <v>8</v>
      </c>
      <c r="D502" s="2">
        <v>12060</v>
      </c>
      <c r="E502" s="2">
        <v>1326.6</v>
      </c>
      <c r="F502" s="2">
        <v>10733.4</v>
      </c>
      <c r="G502" s="2">
        <v>3015</v>
      </c>
      <c r="H502" s="2">
        <v>7718.4</v>
      </c>
      <c r="I502" s="1">
        <v>43344</v>
      </c>
      <c r="J502" t="s">
        <v>28</v>
      </c>
      <c r="K502">
        <v>2018</v>
      </c>
      <c r="L502" s="2"/>
    </row>
    <row r="503" spans="1:12" x14ac:dyDescent="0.3">
      <c r="A503" t="s">
        <v>16</v>
      </c>
      <c r="B503" t="s">
        <v>12</v>
      </c>
      <c r="C503" t="s">
        <v>9</v>
      </c>
      <c r="D503" s="2">
        <v>47992.5</v>
      </c>
      <c r="E503" s="2">
        <v>5279.1749999999993</v>
      </c>
      <c r="F503" s="2">
        <v>42713.324999999997</v>
      </c>
      <c r="G503" s="2">
        <v>31995</v>
      </c>
      <c r="H503" s="2">
        <v>10718.324999999997</v>
      </c>
      <c r="I503" s="1">
        <v>43647</v>
      </c>
      <c r="J503" t="s">
        <v>26</v>
      </c>
      <c r="K503">
        <v>2019</v>
      </c>
      <c r="L503" s="2"/>
    </row>
    <row r="504" spans="1:12" x14ac:dyDescent="0.3">
      <c r="A504" t="s">
        <v>14</v>
      </c>
      <c r="B504" t="s">
        <v>11</v>
      </c>
      <c r="C504" t="s">
        <v>9</v>
      </c>
      <c r="D504" s="2">
        <v>5664</v>
      </c>
      <c r="E504" s="2">
        <v>623.04</v>
      </c>
      <c r="F504" s="2">
        <v>5040.96</v>
      </c>
      <c r="G504" s="2">
        <v>1416</v>
      </c>
      <c r="H504" s="2">
        <v>3624.96</v>
      </c>
      <c r="I504" s="1">
        <v>43739</v>
      </c>
      <c r="J504" t="s">
        <v>29</v>
      </c>
      <c r="K504">
        <v>2019</v>
      </c>
      <c r="L504" s="2"/>
    </row>
    <row r="505" spans="1:12" x14ac:dyDescent="0.3">
      <c r="A505" t="s">
        <v>14</v>
      </c>
      <c r="B505" t="s">
        <v>10</v>
      </c>
      <c r="C505" t="s">
        <v>2</v>
      </c>
      <c r="D505" s="2">
        <v>23244</v>
      </c>
      <c r="E505" s="2">
        <v>2556.84</v>
      </c>
      <c r="F505" s="2">
        <v>20687.16</v>
      </c>
      <c r="G505" s="2">
        <v>6392.1</v>
      </c>
      <c r="H505" s="2">
        <v>14295.06</v>
      </c>
      <c r="I505" s="1">
        <v>43497</v>
      </c>
      <c r="J505" t="s">
        <v>22</v>
      </c>
      <c r="K505">
        <v>2019</v>
      </c>
      <c r="L505" s="2"/>
    </row>
    <row r="506" spans="1:12" x14ac:dyDescent="0.3">
      <c r="A506" t="s">
        <v>3</v>
      </c>
      <c r="B506" t="s">
        <v>11</v>
      </c>
      <c r="C506" t="s">
        <v>2</v>
      </c>
      <c r="D506" s="2">
        <v>277200</v>
      </c>
      <c r="E506" s="2">
        <v>30492</v>
      </c>
      <c r="F506" s="2">
        <v>246708</v>
      </c>
      <c r="G506" s="2">
        <v>226512.00000000003</v>
      </c>
      <c r="H506" s="2">
        <v>20195.999999999971</v>
      </c>
      <c r="I506" s="1">
        <v>43525</v>
      </c>
      <c r="J506" t="s">
        <v>25</v>
      </c>
      <c r="K506">
        <v>2019</v>
      </c>
      <c r="L506" s="2"/>
    </row>
    <row r="507" spans="1:12" x14ac:dyDescent="0.3">
      <c r="A507" t="s">
        <v>13</v>
      </c>
      <c r="B507" t="s">
        <v>11</v>
      </c>
      <c r="C507" t="s">
        <v>2</v>
      </c>
      <c r="D507" s="2">
        <v>843300</v>
      </c>
      <c r="E507" s="2">
        <v>92763</v>
      </c>
      <c r="F507" s="2">
        <v>750537</v>
      </c>
      <c r="G507" s="2">
        <v>773025.00000000012</v>
      </c>
      <c r="H507" s="2">
        <v>-22488.000000000116</v>
      </c>
      <c r="I507" s="1">
        <v>43647</v>
      </c>
      <c r="J507" t="s">
        <v>26</v>
      </c>
      <c r="K507">
        <v>2019</v>
      </c>
      <c r="L507" s="2"/>
    </row>
    <row r="508" spans="1:12" x14ac:dyDescent="0.3">
      <c r="A508" t="s">
        <v>17</v>
      </c>
      <c r="B508" t="s">
        <v>33</v>
      </c>
      <c r="C508" t="s">
        <v>2</v>
      </c>
      <c r="D508" s="2">
        <v>305125</v>
      </c>
      <c r="E508" s="2">
        <v>33563.75</v>
      </c>
      <c r="F508" s="2">
        <v>271561.25</v>
      </c>
      <c r="G508" s="2">
        <v>322212</v>
      </c>
      <c r="H508" s="2">
        <v>-50650.75</v>
      </c>
      <c r="I508" s="1">
        <v>43739</v>
      </c>
      <c r="J508" t="s">
        <v>29</v>
      </c>
      <c r="K508">
        <v>2019</v>
      </c>
      <c r="L508" s="2"/>
    </row>
    <row r="509" spans="1:12" x14ac:dyDescent="0.3">
      <c r="A509" t="s">
        <v>16</v>
      </c>
      <c r="B509" t="s">
        <v>10</v>
      </c>
      <c r="C509" t="s">
        <v>2</v>
      </c>
      <c r="D509" s="2">
        <v>23400</v>
      </c>
      <c r="E509" s="2">
        <v>2574</v>
      </c>
      <c r="F509" s="2">
        <v>20826</v>
      </c>
      <c r="G509" s="2">
        <v>17160</v>
      </c>
      <c r="H509" s="2">
        <v>3666</v>
      </c>
      <c r="I509" s="1">
        <v>43405</v>
      </c>
      <c r="J509" t="s">
        <v>30</v>
      </c>
      <c r="K509">
        <v>2018</v>
      </c>
      <c r="L509" s="2"/>
    </row>
    <row r="510" spans="1:12" x14ac:dyDescent="0.3">
      <c r="A510" t="s">
        <v>3</v>
      </c>
      <c r="B510" t="s">
        <v>32</v>
      </c>
      <c r="C510" t="s">
        <v>2</v>
      </c>
      <c r="D510" s="2">
        <v>18942</v>
      </c>
      <c r="E510" s="2">
        <v>2083.62</v>
      </c>
      <c r="F510" s="2">
        <v>16858.38</v>
      </c>
      <c r="G510" s="2">
        <v>14883.000000000002</v>
      </c>
      <c r="H510" s="2">
        <v>1975.3799999999992</v>
      </c>
      <c r="I510" s="1">
        <v>43405</v>
      </c>
      <c r="J510" t="s">
        <v>30</v>
      </c>
      <c r="K510">
        <v>2018</v>
      </c>
      <c r="L510" s="2"/>
    </row>
    <row r="511" spans="1:12" x14ac:dyDescent="0.3">
      <c r="A511" t="s">
        <v>3</v>
      </c>
      <c r="B511" t="s">
        <v>11</v>
      </c>
      <c r="C511" t="s">
        <v>5</v>
      </c>
      <c r="D511" s="2">
        <v>268100</v>
      </c>
      <c r="E511" s="2">
        <v>29491</v>
      </c>
      <c r="F511" s="2">
        <v>238609</v>
      </c>
      <c r="G511" s="2">
        <v>199160</v>
      </c>
      <c r="H511" s="2">
        <v>39449</v>
      </c>
      <c r="I511" s="1">
        <v>43466</v>
      </c>
      <c r="J511" t="s">
        <v>21</v>
      </c>
      <c r="K511">
        <v>2019</v>
      </c>
      <c r="L511" s="2"/>
    </row>
    <row r="512" spans="1:12" x14ac:dyDescent="0.3">
      <c r="A512" t="s">
        <v>3</v>
      </c>
      <c r="B512" t="s">
        <v>11</v>
      </c>
      <c r="C512" t="s">
        <v>5</v>
      </c>
      <c r="D512" s="2">
        <v>59840</v>
      </c>
      <c r="E512" s="2">
        <v>6582.4</v>
      </c>
      <c r="F512" s="2">
        <v>53257.599999999999</v>
      </c>
      <c r="G512" s="2">
        <v>29920</v>
      </c>
      <c r="H512" s="2">
        <v>23337.599999999999</v>
      </c>
      <c r="I512" s="1">
        <v>43374</v>
      </c>
      <c r="J512" t="s">
        <v>29</v>
      </c>
      <c r="K512">
        <v>2018</v>
      </c>
      <c r="L512" s="2"/>
    </row>
    <row r="513" spans="1:12" x14ac:dyDescent="0.3">
      <c r="A513" t="s">
        <v>16</v>
      </c>
      <c r="B513" t="s">
        <v>32</v>
      </c>
      <c r="C513" t="s">
        <v>5</v>
      </c>
      <c r="D513" s="2">
        <v>32355</v>
      </c>
      <c r="E513" s="2">
        <v>3559.05</v>
      </c>
      <c r="F513" s="2">
        <v>28795.95</v>
      </c>
      <c r="G513" s="2">
        <v>21570</v>
      </c>
      <c r="H513" s="2">
        <v>7225.9500000000007</v>
      </c>
      <c r="I513" s="1">
        <v>43800</v>
      </c>
      <c r="J513" t="s">
        <v>24</v>
      </c>
      <c r="K513">
        <v>2019</v>
      </c>
      <c r="L513" s="2"/>
    </row>
    <row r="514" spans="1:12" x14ac:dyDescent="0.3">
      <c r="A514" t="s">
        <v>13</v>
      </c>
      <c r="B514" t="s">
        <v>10</v>
      </c>
      <c r="C514" t="s">
        <v>6</v>
      </c>
      <c r="D514" s="2">
        <v>261900</v>
      </c>
      <c r="E514" s="2">
        <v>28809</v>
      </c>
      <c r="F514" s="2">
        <v>233091</v>
      </c>
      <c r="G514" s="2">
        <v>218250</v>
      </c>
      <c r="H514" s="2">
        <v>14841</v>
      </c>
      <c r="I514" s="1">
        <v>43466</v>
      </c>
      <c r="J514" t="s">
        <v>21</v>
      </c>
      <c r="K514">
        <v>2019</v>
      </c>
      <c r="L514" s="2"/>
    </row>
    <row r="515" spans="1:12" x14ac:dyDescent="0.3">
      <c r="A515" t="s">
        <v>3</v>
      </c>
      <c r="B515" t="s">
        <v>32</v>
      </c>
      <c r="C515" t="s">
        <v>6</v>
      </c>
      <c r="D515" s="2">
        <v>22440</v>
      </c>
      <c r="E515" s="2">
        <v>2468.4</v>
      </c>
      <c r="F515" s="2">
        <v>19971.599999999999</v>
      </c>
      <c r="G515" s="2">
        <v>11220</v>
      </c>
      <c r="H515" s="2">
        <v>8751.5999999999985</v>
      </c>
      <c r="I515" s="1">
        <v>43525</v>
      </c>
      <c r="J515" t="s">
        <v>25</v>
      </c>
      <c r="K515">
        <v>2019</v>
      </c>
      <c r="L515" s="2"/>
    </row>
    <row r="516" spans="1:12" x14ac:dyDescent="0.3">
      <c r="A516" t="s">
        <v>3</v>
      </c>
      <c r="B516" t="s">
        <v>10</v>
      </c>
      <c r="C516" t="s">
        <v>6</v>
      </c>
      <c r="D516" s="2">
        <v>736575</v>
      </c>
      <c r="E516" s="2">
        <v>81023.25</v>
      </c>
      <c r="F516" s="2">
        <v>655551.75</v>
      </c>
      <c r="G516" s="2">
        <v>547170</v>
      </c>
      <c r="H516" s="2">
        <v>108381.75</v>
      </c>
      <c r="I516" s="1">
        <v>43647</v>
      </c>
      <c r="J516" t="s">
        <v>26</v>
      </c>
      <c r="K516">
        <v>2019</v>
      </c>
      <c r="L516" s="2"/>
    </row>
    <row r="517" spans="1:12" x14ac:dyDescent="0.3">
      <c r="A517" t="s">
        <v>14</v>
      </c>
      <c r="B517" t="s">
        <v>10</v>
      </c>
      <c r="C517" t="s">
        <v>6</v>
      </c>
      <c r="D517" s="2">
        <v>48312</v>
      </c>
      <c r="E517" s="2">
        <v>5314.32</v>
      </c>
      <c r="F517" s="2">
        <v>42997.68</v>
      </c>
      <c r="G517" s="2">
        <v>12078</v>
      </c>
      <c r="H517" s="2">
        <v>30919.68</v>
      </c>
      <c r="I517" s="1">
        <v>43647</v>
      </c>
      <c r="J517" t="s">
        <v>26</v>
      </c>
      <c r="K517">
        <v>2019</v>
      </c>
      <c r="L517" s="2"/>
    </row>
    <row r="518" spans="1:12" x14ac:dyDescent="0.3">
      <c r="A518" t="s">
        <v>14</v>
      </c>
      <c r="B518" t="s">
        <v>33</v>
      </c>
      <c r="C518" t="s">
        <v>6</v>
      </c>
      <c r="D518" s="2">
        <v>29106</v>
      </c>
      <c r="E518" s="2">
        <v>3201.66</v>
      </c>
      <c r="F518" s="2">
        <v>25904.340000000004</v>
      </c>
      <c r="G518" s="2">
        <v>7276.5</v>
      </c>
      <c r="H518" s="2">
        <v>18627.840000000004</v>
      </c>
      <c r="I518" s="1">
        <v>43647</v>
      </c>
      <c r="J518" t="s">
        <v>26</v>
      </c>
      <c r="K518">
        <v>2019</v>
      </c>
      <c r="L518" s="2"/>
    </row>
    <row r="519" spans="1:12" x14ac:dyDescent="0.3">
      <c r="A519" t="s">
        <v>3</v>
      </c>
      <c r="B519" t="s">
        <v>10</v>
      </c>
      <c r="C519" t="s">
        <v>6</v>
      </c>
      <c r="D519" s="2">
        <v>47880</v>
      </c>
      <c r="E519" s="2">
        <v>5266.8</v>
      </c>
      <c r="F519" s="2">
        <v>42613.2</v>
      </c>
      <c r="G519" s="2">
        <v>23940</v>
      </c>
      <c r="H519" s="2">
        <v>18673.199999999997</v>
      </c>
      <c r="I519" s="1">
        <v>43678</v>
      </c>
      <c r="J519" t="s">
        <v>27</v>
      </c>
      <c r="K519">
        <v>2019</v>
      </c>
      <c r="L519" s="2"/>
    </row>
    <row r="520" spans="1:12" x14ac:dyDescent="0.3">
      <c r="A520" t="s">
        <v>16</v>
      </c>
      <c r="B520" t="s">
        <v>32</v>
      </c>
      <c r="C520" t="s">
        <v>6</v>
      </c>
      <c r="D520" s="2">
        <v>29760</v>
      </c>
      <c r="E520" s="2">
        <v>3273.6</v>
      </c>
      <c r="F520" s="2">
        <v>26486.400000000001</v>
      </c>
      <c r="G520" s="2">
        <v>19840</v>
      </c>
      <c r="H520" s="2">
        <v>6646.4000000000015</v>
      </c>
      <c r="I520" s="1">
        <v>43678</v>
      </c>
      <c r="J520" t="s">
        <v>27</v>
      </c>
      <c r="K520">
        <v>2019</v>
      </c>
      <c r="L520" s="2"/>
    </row>
    <row r="521" spans="1:12" x14ac:dyDescent="0.3">
      <c r="A521" t="s">
        <v>17</v>
      </c>
      <c r="B521" t="s">
        <v>33</v>
      </c>
      <c r="C521" t="s">
        <v>6</v>
      </c>
      <c r="D521" s="2">
        <v>305125</v>
      </c>
      <c r="E521" s="2">
        <v>33563.75</v>
      </c>
      <c r="F521" s="2">
        <v>271561.25</v>
      </c>
      <c r="G521" s="2">
        <v>292920</v>
      </c>
      <c r="H521" s="2">
        <v>-21358.75</v>
      </c>
      <c r="I521" s="1">
        <v>43739</v>
      </c>
      <c r="J521" t="s">
        <v>29</v>
      </c>
      <c r="K521">
        <v>2019</v>
      </c>
      <c r="L521" s="2"/>
    </row>
    <row r="522" spans="1:12" x14ac:dyDescent="0.3">
      <c r="A522" t="s">
        <v>3</v>
      </c>
      <c r="B522" t="s">
        <v>11</v>
      </c>
      <c r="C522" t="s">
        <v>6</v>
      </c>
      <c r="D522" s="2">
        <v>59840</v>
      </c>
      <c r="E522" s="2">
        <v>6582.4</v>
      </c>
      <c r="F522" s="2">
        <v>53257.599999999999</v>
      </c>
      <c r="G522" s="2">
        <v>29920</v>
      </c>
      <c r="H522" s="2">
        <v>23337.599999999999</v>
      </c>
      <c r="I522" s="1">
        <v>43374</v>
      </c>
      <c r="J522" t="s">
        <v>29</v>
      </c>
      <c r="K522">
        <v>2018</v>
      </c>
      <c r="L522" s="2"/>
    </row>
    <row r="523" spans="1:12" x14ac:dyDescent="0.3">
      <c r="A523" t="s">
        <v>13</v>
      </c>
      <c r="B523" t="s">
        <v>10</v>
      </c>
      <c r="C523" t="s">
        <v>6</v>
      </c>
      <c r="D523" s="2">
        <v>409800</v>
      </c>
      <c r="E523" s="2">
        <v>45078</v>
      </c>
      <c r="F523" s="2">
        <v>364722</v>
      </c>
      <c r="G523" s="2">
        <v>341500</v>
      </c>
      <c r="H523" s="2">
        <v>23222</v>
      </c>
      <c r="I523" s="1">
        <v>43770</v>
      </c>
      <c r="J523" t="s">
        <v>30</v>
      </c>
      <c r="K523">
        <v>2019</v>
      </c>
      <c r="L523" s="2"/>
    </row>
    <row r="524" spans="1:12" x14ac:dyDescent="0.3">
      <c r="A524" t="s">
        <v>3</v>
      </c>
      <c r="B524" t="s">
        <v>33</v>
      </c>
      <c r="C524" t="s">
        <v>7</v>
      </c>
      <c r="D524" s="2">
        <v>56100</v>
      </c>
      <c r="E524" s="2">
        <v>6171</v>
      </c>
      <c r="F524" s="2">
        <v>49929</v>
      </c>
      <c r="G524" s="2">
        <v>28050</v>
      </c>
      <c r="H524" s="2">
        <v>21879</v>
      </c>
      <c r="I524" s="1">
        <v>43344</v>
      </c>
      <c r="J524" t="s">
        <v>28</v>
      </c>
      <c r="K524">
        <v>2018</v>
      </c>
      <c r="L524" s="2"/>
    </row>
    <row r="525" spans="1:12" x14ac:dyDescent="0.3">
      <c r="A525" t="s">
        <v>16</v>
      </c>
      <c r="B525" t="s">
        <v>32</v>
      </c>
      <c r="C525" t="s">
        <v>7</v>
      </c>
      <c r="D525" s="2">
        <v>9825</v>
      </c>
      <c r="E525" s="2">
        <v>1080.75</v>
      </c>
      <c r="F525" s="2">
        <v>8744.25</v>
      </c>
      <c r="G525" s="2">
        <v>6550</v>
      </c>
      <c r="H525" s="2">
        <v>2194.25</v>
      </c>
      <c r="I525" s="1">
        <v>43344</v>
      </c>
      <c r="J525" t="s">
        <v>28</v>
      </c>
      <c r="K525">
        <v>2018</v>
      </c>
      <c r="L525" s="2"/>
    </row>
    <row r="526" spans="1:12" x14ac:dyDescent="0.3">
      <c r="A526" t="s">
        <v>3</v>
      </c>
      <c r="B526" t="s">
        <v>32</v>
      </c>
      <c r="C526" t="s">
        <v>7</v>
      </c>
      <c r="D526" s="2">
        <v>120400</v>
      </c>
      <c r="E526" s="2">
        <v>13244</v>
      </c>
      <c r="F526" s="2">
        <v>107156</v>
      </c>
      <c r="G526" s="2">
        <v>89440</v>
      </c>
      <c r="H526" s="2">
        <v>17716</v>
      </c>
      <c r="I526" s="1">
        <v>43374</v>
      </c>
      <c r="J526" t="s">
        <v>29</v>
      </c>
      <c r="K526">
        <v>2018</v>
      </c>
      <c r="L526" s="2"/>
    </row>
    <row r="527" spans="1:12" x14ac:dyDescent="0.3">
      <c r="A527" t="s">
        <v>3</v>
      </c>
      <c r="B527" t="s">
        <v>10</v>
      </c>
      <c r="C527" t="s">
        <v>7</v>
      </c>
      <c r="D527" s="2">
        <v>12656</v>
      </c>
      <c r="E527" s="2">
        <v>1392.16</v>
      </c>
      <c r="F527" s="2">
        <v>11263.84</v>
      </c>
      <c r="G527" s="2">
        <v>9040</v>
      </c>
      <c r="H527" s="2">
        <v>2223.84</v>
      </c>
      <c r="I527" s="1">
        <v>43770</v>
      </c>
      <c r="J527" t="s">
        <v>30</v>
      </c>
      <c r="K527">
        <v>2019</v>
      </c>
      <c r="L527" s="2"/>
    </row>
    <row r="528" spans="1:12" x14ac:dyDescent="0.3">
      <c r="A528" t="s">
        <v>14</v>
      </c>
      <c r="B528" t="s">
        <v>33</v>
      </c>
      <c r="C528" t="s">
        <v>8</v>
      </c>
      <c r="D528" s="2">
        <v>20808</v>
      </c>
      <c r="E528" s="2">
        <v>2288.88</v>
      </c>
      <c r="F528" s="2">
        <v>18519.12</v>
      </c>
      <c r="G528" s="2">
        <v>5202</v>
      </c>
      <c r="H528" s="2">
        <v>13317.119999999999</v>
      </c>
      <c r="I528" s="1">
        <v>43466</v>
      </c>
      <c r="J528" t="s">
        <v>21</v>
      </c>
      <c r="K528">
        <v>2019</v>
      </c>
      <c r="L528" s="2"/>
    </row>
    <row r="529" spans="1:12" x14ac:dyDescent="0.3">
      <c r="A529" t="s">
        <v>17</v>
      </c>
      <c r="B529" t="s">
        <v>32</v>
      </c>
      <c r="C529" t="s">
        <v>8</v>
      </c>
      <c r="D529" s="2">
        <v>69250</v>
      </c>
      <c r="E529" s="2">
        <v>7617.5</v>
      </c>
      <c r="F529" s="2">
        <v>61632.5</v>
      </c>
      <c r="G529" s="2">
        <v>66480</v>
      </c>
      <c r="H529" s="2">
        <v>-4847.5</v>
      </c>
      <c r="I529" s="1">
        <v>43466</v>
      </c>
      <c r="J529" t="s">
        <v>21</v>
      </c>
      <c r="K529">
        <v>2019</v>
      </c>
      <c r="L529" s="2"/>
    </row>
    <row r="530" spans="1:12" x14ac:dyDescent="0.3">
      <c r="A530" t="s">
        <v>3</v>
      </c>
      <c r="B530" t="s">
        <v>10</v>
      </c>
      <c r="C530" t="s">
        <v>8</v>
      </c>
      <c r="D530" s="2">
        <v>58700</v>
      </c>
      <c r="E530" s="2">
        <v>6457</v>
      </c>
      <c r="F530" s="2">
        <v>52243</v>
      </c>
      <c r="G530" s="2">
        <v>29350</v>
      </c>
      <c r="H530" s="2">
        <v>22893</v>
      </c>
      <c r="I530" s="1">
        <v>43405</v>
      </c>
      <c r="J530" t="s">
        <v>30</v>
      </c>
      <c r="K530">
        <v>2018</v>
      </c>
      <c r="L530" s="2"/>
    </row>
    <row r="531" spans="1:12" x14ac:dyDescent="0.3">
      <c r="A531" t="s">
        <v>17</v>
      </c>
      <c r="B531" t="s">
        <v>11</v>
      </c>
      <c r="C531" t="s">
        <v>9</v>
      </c>
      <c r="D531" s="2">
        <v>395625</v>
      </c>
      <c r="E531" s="2">
        <v>43518.75</v>
      </c>
      <c r="F531" s="2">
        <v>352106.25</v>
      </c>
      <c r="G531" s="2">
        <v>379800</v>
      </c>
      <c r="H531" s="2">
        <v>-27693.75</v>
      </c>
      <c r="I531" s="1">
        <v>43466</v>
      </c>
      <c r="J531" t="s">
        <v>21</v>
      </c>
      <c r="K531">
        <v>2019</v>
      </c>
      <c r="L531" s="2"/>
    </row>
    <row r="532" spans="1:12" x14ac:dyDescent="0.3">
      <c r="A532" t="s">
        <v>3</v>
      </c>
      <c r="B532" t="s">
        <v>32</v>
      </c>
      <c r="C532" t="s">
        <v>9</v>
      </c>
      <c r="D532" s="2">
        <v>52580</v>
      </c>
      <c r="E532" s="2">
        <v>5783.8</v>
      </c>
      <c r="F532" s="2">
        <v>46796.2</v>
      </c>
      <c r="G532" s="2">
        <v>26290</v>
      </c>
      <c r="H532" s="2">
        <v>20506.199999999997</v>
      </c>
      <c r="I532" s="1">
        <v>43466</v>
      </c>
      <c r="J532" t="s">
        <v>21</v>
      </c>
      <c r="K532">
        <v>2019</v>
      </c>
      <c r="L532" s="2"/>
    </row>
    <row r="533" spans="1:12" x14ac:dyDescent="0.3">
      <c r="A533" t="s">
        <v>17</v>
      </c>
      <c r="B533" t="s">
        <v>33</v>
      </c>
      <c r="C533" t="s">
        <v>9</v>
      </c>
      <c r="D533" s="2">
        <v>179125</v>
      </c>
      <c r="E533" s="2">
        <v>19703.75</v>
      </c>
      <c r="F533" s="2">
        <v>159421.25</v>
      </c>
      <c r="G533" s="2">
        <v>171960</v>
      </c>
      <c r="H533" s="2">
        <v>-12538.75</v>
      </c>
      <c r="I533" s="1">
        <v>43586</v>
      </c>
      <c r="J533" t="s">
        <v>31</v>
      </c>
      <c r="K533">
        <v>2019</v>
      </c>
      <c r="L533" s="2"/>
    </row>
    <row r="534" spans="1:12" x14ac:dyDescent="0.3">
      <c r="A534" t="s">
        <v>17</v>
      </c>
      <c r="B534" t="s">
        <v>32</v>
      </c>
      <c r="C534" t="s">
        <v>9</v>
      </c>
      <c r="D534" s="2">
        <v>118375</v>
      </c>
      <c r="E534" s="2">
        <v>13021.25</v>
      </c>
      <c r="F534" s="2">
        <v>105353.75</v>
      </c>
      <c r="G534" s="2">
        <v>113640</v>
      </c>
      <c r="H534" s="2">
        <v>-8286.25</v>
      </c>
      <c r="I534" s="1">
        <v>43344</v>
      </c>
      <c r="J534" t="s">
        <v>28</v>
      </c>
      <c r="K534">
        <v>2018</v>
      </c>
      <c r="L534" s="2"/>
    </row>
    <row r="535" spans="1:12" x14ac:dyDescent="0.3">
      <c r="A535" t="s">
        <v>3</v>
      </c>
      <c r="B535" t="s">
        <v>32</v>
      </c>
      <c r="C535" t="s">
        <v>9</v>
      </c>
      <c r="D535" s="2">
        <v>120400</v>
      </c>
      <c r="E535" s="2">
        <v>13244</v>
      </c>
      <c r="F535" s="2">
        <v>107156</v>
      </c>
      <c r="G535" s="2">
        <v>89440</v>
      </c>
      <c r="H535" s="2">
        <v>17716</v>
      </c>
      <c r="I535" s="1">
        <v>43374</v>
      </c>
      <c r="J535" t="s">
        <v>29</v>
      </c>
      <c r="K535">
        <v>2018</v>
      </c>
      <c r="L535" s="2"/>
    </row>
    <row r="536" spans="1:12" x14ac:dyDescent="0.3">
      <c r="A536" t="s">
        <v>16</v>
      </c>
      <c r="B536" t="s">
        <v>32</v>
      </c>
      <c r="C536" t="s">
        <v>9</v>
      </c>
      <c r="D536" s="2">
        <v>32355</v>
      </c>
      <c r="E536" s="2">
        <v>3559.05</v>
      </c>
      <c r="F536" s="2">
        <v>28795.95</v>
      </c>
      <c r="G536" s="2">
        <v>21570</v>
      </c>
      <c r="H536" s="2">
        <v>7225.9500000000007</v>
      </c>
      <c r="I536" s="1">
        <v>43800</v>
      </c>
      <c r="J536" t="s">
        <v>24</v>
      </c>
      <c r="K536">
        <v>2019</v>
      </c>
      <c r="L536" s="2"/>
    </row>
    <row r="537" spans="1:12" x14ac:dyDescent="0.3">
      <c r="A537" t="s">
        <v>3</v>
      </c>
      <c r="B537" t="s">
        <v>12</v>
      </c>
      <c r="C537" t="s">
        <v>6</v>
      </c>
      <c r="D537" s="2">
        <v>2660</v>
      </c>
      <c r="E537" s="2">
        <v>292.60000000000002</v>
      </c>
      <c r="F537" s="2">
        <v>2367.4</v>
      </c>
      <c r="G537" s="2">
        <v>1900</v>
      </c>
      <c r="H537" s="2">
        <v>467.40000000000009</v>
      </c>
      <c r="I537" s="1">
        <v>43344</v>
      </c>
      <c r="J537" t="s">
        <v>28</v>
      </c>
      <c r="K537">
        <v>2018</v>
      </c>
      <c r="L537" s="2"/>
    </row>
    <row r="538" spans="1:12" x14ac:dyDescent="0.3">
      <c r="A538" t="s">
        <v>3</v>
      </c>
      <c r="B538" t="s">
        <v>32</v>
      </c>
      <c r="C538" t="s">
        <v>2</v>
      </c>
      <c r="D538" s="2">
        <v>310100</v>
      </c>
      <c r="E538" s="2">
        <v>37212</v>
      </c>
      <c r="F538" s="2">
        <v>272888</v>
      </c>
      <c r="G538" s="2">
        <v>253396.00000000003</v>
      </c>
      <c r="H538" s="2">
        <v>19491.999999999971</v>
      </c>
      <c r="I538" s="1">
        <v>43617</v>
      </c>
      <c r="J538" t="s">
        <v>23</v>
      </c>
      <c r="K538">
        <v>2019</v>
      </c>
      <c r="L538" s="2"/>
    </row>
    <row r="539" spans="1:12" x14ac:dyDescent="0.3">
      <c r="A539" t="s">
        <v>17</v>
      </c>
      <c r="B539" t="s">
        <v>10</v>
      </c>
      <c r="C539" t="s">
        <v>2</v>
      </c>
      <c r="D539" s="2">
        <v>302000</v>
      </c>
      <c r="E539" s="2">
        <v>36240</v>
      </c>
      <c r="F539" s="2">
        <v>265760</v>
      </c>
      <c r="G539" s="2">
        <v>318912</v>
      </c>
      <c r="H539" s="2">
        <v>-53152</v>
      </c>
      <c r="I539" s="1">
        <v>43344</v>
      </c>
      <c r="J539" t="s">
        <v>28</v>
      </c>
      <c r="K539">
        <v>2018</v>
      </c>
      <c r="L539" s="2"/>
    </row>
    <row r="540" spans="1:12" x14ac:dyDescent="0.3">
      <c r="A540" t="s">
        <v>17</v>
      </c>
      <c r="B540" t="s">
        <v>32</v>
      </c>
      <c r="C540" t="s">
        <v>2</v>
      </c>
      <c r="D540" s="2">
        <v>269500</v>
      </c>
      <c r="E540" s="2">
        <v>32340</v>
      </c>
      <c r="F540" s="2">
        <v>237160</v>
      </c>
      <c r="G540" s="2">
        <v>284592</v>
      </c>
      <c r="H540" s="2">
        <v>-47432</v>
      </c>
      <c r="I540" s="1">
        <v>43739</v>
      </c>
      <c r="J540" t="s">
        <v>29</v>
      </c>
      <c r="K540">
        <v>2019</v>
      </c>
      <c r="L540" s="2"/>
    </row>
    <row r="541" spans="1:12" x14ac:dyDescent="0.3">
      <c r="A541" t="s">
        <v>16</v>
      </c>
      <c r="B541" t="s">
        <v>10</v>
      </c>
      <c r="C541" t="s">
        <v>2</v>
      </c>
      <c r="D541" s="2">
        <v>40335</v>
      </c>
      <c r="E541" s="2">
        <v>4840.2</v>
      </c>
      <c r="F541" s="2">
        <v>35494.800000000003</v>
      </c>
      <c r="G541" s="2">
        <v>29579.000000000004</v>
      </c>
      <c r="H541" s="2">
        <v>5915.7999999999993</v>
      </c>
      <c r="I541" s="1">
        <v>43770</v>
      </c>
      <c r="J541" t="s">
        <v>30</v>
      </c>
      <c r="K541">
        <v>2019</v>
      </c>
      <c r="L541" s="2"/>
    </row>
    <row r="542" spans="1:12" x14ac:dyDescent="0.3">
      <c r="A542" t="s">
        <v>16</v>
      </c>
      <c r="B542" t="s">
        <v>12</v>
      </c>
      <c r="C542" t="s">
        <v>5</v>
      </c>
      <c r="D542" s="2">
        <v>10155</v>
      </c>
      <c r="E542" s="2">
        <v>1218.5999999999999</v>
      </c>
      <c r="F542" s="2">
        <v>8936.4</v>
      </c>
      <c r="G542" s="2">
        <v>6770</v>
      </c>
      <c r="H542" s="2">
        <v>2166.3999999999996</v>
      </c>
      <c r="I542" s="1">
        <v>43525</v>
      </c>
      <c r="J542" t="s">
        <v>25</v>
      </c>
      <c r="K542">
        <v>2019</v>
      </c>
      <c r="L542" s="2"/>
    </row>
    <row r="543" spans="1:12" x14ac:dyDescent="0.3">
      <c r="A543" t="s">
        <v>13</v>
      </c>
      <c r="B543" t="s">
        <v>33</v>
      </c>
      <c r="C543" t="s">
        <v>5</v>
      </c>
      <c r="D543" s="2">
        <v>531900</v>
      </c>
      <c r="E543" s="2">
        <v>63828</v>
      </c>
      <c r="F543" s="2">
        <v>468072</v>
      </c>
      <c r="G543" s="2">
        <v>443250</v>
      </c>
      <c r="H543" s="2">
        <v>24822</v>
      </c>
      <c r="I543" s="1">
        <v>43556</v>
      </c>
      <c r="J543" t="s">
        <v>38</v>
      </c>
      <c r="K543">
        <v>2019</v>
      </c>
      <c r="L543" s="2"/>
    </row>
    <row r="544" spans="1:12" x14ac:dyDescent="0.3">
      <c r="A544" t="s">
        <v>3</v>
      </c>
      <c r="B544" t="s">
        <v>32</v>
      </c>
      <c r="C544" t="s">
        <v>5</v>
      </c>
      <c r="D544" s="2">
        <v>16940</v>
      </c>
      <c r="E544" s="2">
        <v>2032.8</v>
      </c>
      <c r="F544" s="2">
        <v>14907.2</v>
      </c>
      <c r="G544" s="2">
        <v>12100</v>
      </c>
      <c r="H544" s="2">
        <v>2807.2000000000007</v>
      </c>
      <c r="I544" s="1">
        <v>43709</v>
      </c>
      <c r="J544" t="s">
        <v>28</v>
      </c>
      <c r="K544">
        <v>2019</v>
      </c>
      <c r="L544" s="2"/>
    </row>
    <row r="545" spans="1:12" x14ac:dyDescent="0.3">
      <c r="A545" t="s">
        <v>3</v>
      </c>
      <c r="B545" t="s">
        <v>10</v>
      </c>
      <c r="C545" t="s">
        <v>5</v>
      </c>
      <c r="D545" s="2">
        <v>19138</v>
      </c>
      <c r="E545" s="2">
        <v>2296.56</v>
      </c>
      <c r="F545" s="2">
        <v>16841.439999999999</v>
      </c>
      <c r="G545" s="2">
        <v>13670</v>
      </c>
      <c r="H545" s="2">
        <v>3171.4399999999987</v>
      </c>
      <c r="I545" s="1">
        <v>43739</v>
      </c>
      <c r="J545" t="s">
        <v>29</v>
      </c>
      <c r="K545">
        <v>2019</v>
      </c>
      <c r="L545" s="2"/>
    </row>
    <row r="546" spans="1:12" x14ac:dyDescent="0.3">
      <c r="A546" t="s">
        <v>3</v>
      </c>
      <c r="B546" t="s">
        <v>32</v>
      </c>
      <c r="C546" t="s">
        <v>5</v>
      </c>
      <c r="D546" s="2">
        <v>34300</v>
      </c>
      <c r="E546" s="2">
        <v>4116</v>
      </c>
      <c r="F546" s="2">
        <v>30184</v>
      </c>
      <c r="G546" s="2">
        <v>17150</v>
      </c>
      <c r="H546" s="2">
        <v>13034</v>
      </c>
      <c r="I546" s="1">
        <v>43374</v>
      </c>
      <c r="J546" t="s">
        <v>29</v>
      </c>
      <c r="K546">
        <v>2018</v>
      </c>
      <c r="L546" s="2"/>
    </row>
    <row r="547" spans="1:12" x14ac:dyDescent="0.3">
      <c r="A547" t="s">
        <v>13</v>
      </c>
      <c r="B547" t="s">
        <v>33</v>
      </c>
      <c r="C547" t="s">
        <v>5</v>
      </c>
      <c r="D547" s="2">
        <v>355800</v>
      </c>
      <c r="E547" s="2">
        <v>42696</v>
      </c>
      <c r="F547" s="2">
        <v>313104</v>
      </c>
      <c r="G547" s="2">
        <v>296500</v>
      </c>
      <c r="H547" s="2">
        <v>16604</v>
      </c>
      <c r="I547" s="1">
        <v>43435</v>
      </c>
      <c r="J547" t="s">
        <v>24</v>
      </c>
      <c r="K547">
        <v>2018</v>
      </c>
      <c r="L547" s="2"/>
    </row>
    <row r="548" spans="1:12" x14ac:dyDescent="0.3">
      <c r="A548" t="s">
        <v>13</v>
      </c>
      <c r="B548" t="s">
        <v>12</v>
      </c>
      <c r="C548" t="s">
        <v>6</v>
      </c>
      <c r="D548" s="2">
        <v>1048500</v>
      </c>
      <c r="E548" s="2">
        <v>125820</v>
      </c>
      <c r="F548" s="2">
        <v>922680</v>
      </c>
      <c r="G548" s="2">
        <v>873750</v>
      </c>
      <c r="H548" s="2">
        <v>48930</v>
      </c>
      <c r="I548" s="1">
        <v>43466</v>
      </c>
      <c r="J548" t="s">
        <v>21</v>
      </c>
      <c r="K548">
        <v>2019</v>
      </c>
      <c r="L548" s="2"/>
    </row>
    <row r="549" spans="1:12" x14ac:dyDescent="0.3">
      <c r="A549" t="s">
        <v>3</v>
      </c>
      <c r="B549" t="s">
        <v>32</v>
      </c>
      <c r="C549" t="s">
        <v>6</v>
      </c>
      <c r="D549" s="2">
        <v>310100</v>
      </c>
      <c r="E549" s="2">
        <v>37212</v>
      </c>
      <c r="F549" s="2">
        <v>272888</v>
      </c>
      <c r="G549" s="2">
        <v>230360</v>
      </c>
      <c r="H549" s="2">
        <v>42528</v>
      </c>
      <c r="I549" s="1">
        <v>43617</v>
      </c>
      <c r="J549" t="s">
        <v>23</v>
      </c>
      <c r="K549">
        <v>2019</v>
      </c>
      <c r="L549" s="2"/>
    </row>
    <row r="550" spans="1:12" x14ac:dyDescent="0.3">
      <c r="A550" t="s">
        <v>17</v>
      </c>
      <c r="B550" t="s">
        <v>32</v>
      </c>
      <c r="C550" t="s">
        <v>6</v>
      </c>
      <c r="D550" s="2">
        <v>269500</v>
      </c>
      <c r="E550" s="2">
        <v>32340</v>
      </c>
      <c r="F550" s="2">
        <v>237160</v>
      </c>
      <c r="G550" s="2">
        <v>258720</v>
      </c>
      <c r="H550" s="2">
        <v>-21560</v>
      </c>
      <c r="I550" s="1">
        <v>43739</v>
      </c>
      <c r="J550" t="s">
        <v>29</v>
      </c>
      <c r="K550">
        <v>2019</v>
      </c>
      <c r="L550" s="2"/>
    </row>
    <row r="551" spans="1:12" x14ac:dyDescent="0.3">
      <c r="A551" t="s">
        <v>3</v>
      </c>
      <c r="B551" t="s">
        <v>32</v>
      </c>
      <c r="C551" t="s">
        <v>6</v>
      </c>
      <c r="D551" s="2">
        <v>18100</v>
      </c>
      <c r="E551" s="2">
        <v>2172</v>
      </c>
      <c r="F551" s="2">
        <v>15928</v>
      </c>
      <c r="G551" s="2">
        <v>9050</v>
      </c>
      <c r="H551" s="2">
        <v>6878</v>
      </c>
      <c r="I551" s="1">
        <v>43739</v>
      </c>
      <c r="J551" t="s">
        <v>29</v>
      </c>
      <c r="K551">
        <v>2019</v>
      </c>
      <c r="L551" s="2"/>
    </row>
    <row r="552" spans="1:12" x14ac:dyDescent="0.3">
      <c r="A552" t="s">
        <v>3</v>
      </c>
      <c r="B552" t="s">
        <v>32</v>
      </c>
      <c r="C552" t="s">
        <v>6</v>
      </c>
      <c r="D552" s="2">
        <v>34300</v>
      </c>
      <c r="E552" s="2">
        <v>4116</v>
      </c>
      <c r="F552" s="2">
        <v>30184</v>
      </c>
      <c r="G552" s="2">
        <v>17150</v>
      </c>
      <c r="H552" s="2">
        <v>13034</v>
      </c>
      <c r="I552" s="1">
        <v>43374</v>
      </c>
      <c r="J552" t="s">
        <v>29</v>
      </c>
      <c r="K552">
        <v>2018</v>
      </c>
      <c r="L552" s="2"/>
    </row>
    <row r="553" spans="1:12" x14ac:dyDescent="0.3">
      <c r="A553" t="s">
        <v>3</v>
      </c>
      <c r="B553" t="s">
        <v>33</v>
      </c>
      <c r="C553" t="s">
        <v>6</v>
      </c>
      <c r="D553" s="2">
        <v>557900</v>
      </c>
      <c r="E553" s="2">
        <v>66948</v>
      </c>
      <c r="F553" s="2">
        <v>490952</v>
      </c>
      <c r="G553" s="2">
        <v>414440</v>
      </c>
      <c r="H553" s="2">
        <v>76512</v>
      </c>
      <c r="I553" s="1">
        <v>43770</v>
      </c>
      <c r="J553" t="s">
        <v>30</v>
      </c>
      <c r="K553">
        <v>2019</v>
      </c>
      <c r="L553" s="2"/>
    </row>
    <row r="554" spans="1:12" x14ac:dyDescent="0.3">
      <c r="A554" t="s">
        <v>13</v>
      </c>
      <c r="B554" t="s">
        <v>11</v>
      </c>
      <c r="C554" t="s">
        <v>6</v>
      </c>
      <c r="D554" s="2">
        <v>407700</v>
      </c>
      <c r="E554" s="2">
        <v>48924</v>
      </c>
      <c r="F554" s="2">
        <v>358776</v>
      </c>
      <c r="G554" s="2">
        <v>339750</v>
      </c>
      <c r="H554" s="2">
        <v>19026</v>
      </c>
      <c r="I554" s="1">
        <v>43770</v>
      </c>
      <c r="J554" t="s">
        <v>30</v>
      </c>
      <c r="K554">
        <v>2019</v>
      </c>
      <c r="L554" s="2"/>
    </row>
    <row r="555" spans="1:12" x14ac:dyDescent="0.3">
      <c r="A555" t="s">
        <v>13</v>
      </c>
      <c r="B555" t="s">
        <v>32</v>
      </c>
      <c r="C555" t="s">
        <v>6</v>
      </c>
      <c r="D555" s="2">
        <v>645000</v>
      </c>
      <c r="E555" s="2">
        <v>77400</v>
      </c>
      <c r="F555" s="2">
        <v>567600</v>
      </c>
      <c r="G555" s="2">
        <v>537500</v>
      </c>
      <c r="H555" s="2">
        <v>30100</v>
      </c>
      <c r="I555" s="1">
        <v>43770</v>
      </c>
      <c r="J555" t="s">
        <v>30</v>
      </c>
      <c r="K555">
        <v>2019</v>
      </c>
      <c r="L555" s="2"/>
    </row>
    <row r="556" spans="1:12" x14ac:dyDescent="0.3">
      <c r="A556" t="s">
        <v>3</v>
      </c>
      <c r="B556" t="s">
        <v>32</v>
      </c>
      <c r="C556" t="s">
        <v>6</v>
      </c>
      <c r="D556" s="2">
        <v>418950</v>
      </c>
      <c r="E556" s="2">
        <v>50274</v>
      </c>
      <c r="F556" s="2">
        <v>368676</v>
      </c>
      <c r="G556" s="2">
        <v>311220</v>
      </c>
      <c r="H556" s="2">
        <v>57456</v>
      </c>
      <c r="I556" s="1">
        <v>43770</v>
      </c>
      <c r="J556" t="s">
        <v>30</v>
      </c>
      <c r="K556">
        <v>2019</v>
      </c>
      <c r="L556" s="2"/>
    </row>
    <row r="557" spans="1:12" x14ac:dyDescent="0.3">
      <c r="A557" t="s">
        <v>16</v>
      </c>
      <c r="B557" t="s">
        <v>32</v>
      </c>
      <c r="C557" t="s">
        <v>6</v>
      </c>
      <c r="D557" s="2">
        <v>5700</v>
      </c>
      <c r="E557" s="2">
        <v>684</v>
      </c>
      <c r="F557" s="2">
        <v>5016</v>
      </c>
      <c r="G557" s="2">
        <v>3800</v>
      </c>
      <c r="H557" s="2">
        <v>1216</v>
      </c>
      <c r="I557" s="1">
        <v>43435</v>
      </c>
      <c r="J557" t="s">
        <v>24</v>
      </c>
      <c r="K557">
        <v>2018</v>
      </c>
      <c r="L557" s="2"/>
    </row>
    <row r="558" spans="1:12" x14ac:dyDescent="0.3">
      <c r="A558" t="s">
        <v>3</v>
      </c>
      <c r="B558" t="s">
        <v>32</v>
      </c>
      <c r="C558" t="s">
        <v>6</v>
      </c>
      <c r="D558" s="2">
        <v>24660</v>
      </c>
      <c r="E558" s="2">
        <v>2959.2</v>
      </c>
      <c r="F558" s="2">
        <v>21700.799999999999</v>
      </c>
      <c r="G558" s="2">
        <v>12330</v>
      </c>
      <c r="H558" s="2">
        <v>9370.7999999999993</v>
      </c>
      <c r="I558" s="1">
        <v>43800</v>
      </c>
      <c r="J558" t="s">
        <v>24</v>
      </c>
      <c r="K558">
        <v>2019</v>
      </c>
      <c r="L558" s="2"/>
    </row>
    <row r="559" spans="1:12" x14ac:dyDescent="0.3">
      <c r="A559" t="s">
        <v>3</v>
      </c>
      <c r="B559" t="s">
        <v>32</v>
      </c>
      <c r="C559" t="s">
        <v>7</v>
      </c>
      <c r="D559" s="2">
        <v>488250</v>
      </c>
      <c r="E559" s="2">
        <v>58590</v>
      </c>
      <c r="F559" s="2">
        <v>429660</v>
      </c>
      <c r="G559" s="2">
        <v>362700</v>
      </c>
      <c r="H559" s="2">
        <v>66960</v>
      </c>
      <c r="I559" s="1">
        <v>43647</v>
      </c>
      <c r="J559" t="s">
        <v>26</v>
      </c>
      <c r="K559">
        <v>2019</v>
      </c>
      <c r="L559" s="2"/>
    </row>
    <row r="560" spans="1:12" x14ac:dyDescent="0.3">
      <c r="A560" t="s">
        <v>3</v>
      </c>
      <c r="B560" t="s">
        <v>12</v>
      </c>
      <c r="C560" t="s">
        <v>7</v>
      </c>
      <c r="D560" s="2">
        <v>345100</v>
      </c>
      <c r="E560" s="2">
        <v>41412</v>
      </c>
      <c r="F560" s="2">
        <v>303688</v>
      </c>
      <c r="G560" s="2">
        <v>256360</v>
      </c>
      <c r="H560" s="2">
        <v>47328</v>
      </c>
      <c r="I560" s="1">
        <v>43739</v>
      </c>
      <c r="J560" t="s">
        <v>29</v>
      </c>
      <c r="K560">
        <v>2019</v>
      </c>
      <c r="L560" s="2"/>
    </row>
    <row r="561" spans="1:12" x14ac:dyDescent="0.3">
      <c r="A561" t="s">
        <v>3</v>
      </c>
      <c r="B561" t="s">
        <v>32</v>
      </c>
      <c r="C561" t="s">
        <v>7</v>
      </c>
      <c r="D561" s="2">
        <v>18100</v>
      </c>
      <c r="E561" s="2">
        <v>2172</v>
      </c>
      <c r="F561" s="2">
        <v>15928</v>
      </c>
      <c r="G561" s="2">
        <v>9050</v>
      </c>
      <c r="H561" s="2">
        <v>6878</v>
      </c>
      <c r="I561" s="1">
        <v>43739</v>
      </c>
      <c r="J561" t="s">
        <v>29</v>
      </c>
      <c r="K561">
        <v>2019</v>
      </c>
      <c r="L561" s="2"/>
    </row>
    <row r="562" spans="1:12" x14ac:dyDescent="0.3">
      <c r="A562" t="s">
        <v>14</v>
      </c>
      <c r="B562" t="s">
        <v>10</v>
      </c>
      <c r="C562" t="s">
        <v>8</v>
      </c>
      <c r="D562" s="2">
        <v>25308</v>
      </c>
      <c r="E562" s="2">
        <v>3036.96</v>
      </c>
      <c r="F562" s="2">
        <v>22271.040000000001</v>
      </c>
      <c r="G562" s="2">
        <v>6327</v>
      </c>
      <c r="H562" s="2">
        <v>15944.04</v>
      </c>
      <c r="I562" s="1">
        <v>43586</v>
      </c>
      <c r="J562" t="s">
        <v>31</v>
      </c>
      <c r="K562">
        <v>2019</v>
      </c>
      <c r="L562" s="2"/>
    </row>
    <row r="563" spans="1:12" x14ac:dyDescent="0.3">
      <c r="A563" t="s">
        <v>16</v>
      </c>
      <c r="B563" t="s">
        <v>33</v>
      </c>
      <c r="C563" t="s">
        <v>8</v>
      </c>
      <c r="D563" s="2">
        <v>58117.5</v>
      </c>
      <c r="E563" s="2">
        <v>6974.0999999999995</v>
      </c>
      <c r="F563" s="2">
        <v>51143.399999999994</v>
      </c>
      <c r="G563" s="2">
        <v>38745</v>
      </c>
      <c r="H563" s="2">
        <v>12398.399999999994</v>
      </c>
      <c r="I563" s="1">
        <v>43647</v>
      </c>
      <c r="J563" t="s">
        <v>26</v>
      </c>
      <c r="K563">
        <v>2019</v>
      </c>
      <c r="L563" s="2"/>
    </row>
    <row r="564" spans="1:12" x14ac:dyDescent="0.3">
      <c r="A564" t="s">
        <v>3</v>
      </c>
      <c r="B564" t="s">
        <v>10</v>
      </c>
      <c r="C564" t="s">
        <v>8</v>
      </c>
      <c r="D564" s="2">
        <v>218050</v>
      </c>
      <c r="E564" s="2">
        <v>26166</v>
      </c>
      <c r="F564" s="2">
        <v>191884</v>
      </c>
      <c r="G564" s="2">
        <v>161980</v>
      </c>
      <c r="H564" s="2">
        <v>29904</v>
      </c>
      <c r="I564" s="1">
        <v>43344</v>
      </c>
      <c r="J564" t="s">
        <v>28</v>
      </c>
      <c r="K564">
        <v>2018</v>
      </c>
      <c r="L564" s="2"/>
    </row>
    <row r="565" spans="1:12" x14ac:dyDescent="0.3">
      <c r="A565" t="s">
        <v>3</v>
      </c>
      <c r="B565" t="s">
        <v>12</v>
      </c>
      <c r="C565" t="s">
        <v>8</v>
      </c>
      <c r="D565" s="2">
        <v>345100</v>
      </c>
      <c r="E565" s="2">
        <v>41412</v>
      </c>
      <c r="F565" s="2">
        <v>303688</v>
      </c>
      <c r="G565" s="2">
        <v>256360</v>
      </c>
      <c r="H565" s="2">
        <v>47328</v>
      </c>
      <c r="I565" s="1">
        <v>43739</v>
      </c>
      <c r="J565" t="s">
        <v>29</v>
      </c>
      <c r="K565">
        <v>2019</v>
      </c>
      <c r="L565" s="2"/>
    </row>
    <row r="566" spans="1:12" x14ac:dyDescent="0.3">
      <c r="A566" t="s">
        <v>17</v>
      </c>
      <c r="B566" t="s">
        <v>12</v>
      </c>
      <c r="C566" t="s">
        <v>8</v>
      </c>
      <c r="D566" s="2">
        <v>298375</v>
      </c>
      <c r="E566" s="2">
        <v>35805</v>
      </c>
      <c r="F566" s="2">
        <v>262570</v>
      </c>
      <c r="G566" s="2">
        <v>286440</v>
      </c>
      <c r="H566" s="2">
        <v>-23870</v>
      </c>
      <c r="I566" s="1">
        <v>43770</v>
      </c>
      <c r="J566" t="s">
        <v>30</v>
      </c>
      <c r="K566">
        <v>2019</v>
      </c>
      <c r="L566" s="2"/>
    </row>
    <row r="567" spans="1:12" x14ac:dyDescent="0.3">
      <c r="A567" t="s">
        <v>3</v>
      </c>
      <c r="B567" t="s">
        <v>32</v>
      </c>
      <c r="C567" t="s">
        <v>8</v>
      </c>
      <c r="D567" s="2">
        <v>24660</v>
      </c>
      <c r="E567" s="2">
        <v>2959.2</v>
      </c>
      <c r="F567" s="2">
        <v>21700.799999999999</v>
      </c>
      <c r="G567" s="2">
        <v>12330</v>
      </c>
      <c r="H567" s="2">
        <v>9370.7999999999993</v>
      </c>
      <c r="I567" s="1">
        <v>43800</v>
      </c>
      <c r="J567" t="s">
        <v>24</v>
      </c>
      <c r="K567">
        <v>2019</v>
      </c>
      <c r="L567" s="2"/>
    </row>
    <row r="568" spans="1:12" x14ac:dyDescent="0.3">
      <c r="A568" t="s">
        <v>3</v>
      </c>
      <c r="B568" t="s">
        <v>12</v>
      </c>
      <c r="C568" t="s">
        <v>9</v>
      </c>
      <c r="D568" s="2">
        <v>94500</v>
      </c>
      <c r="E568" s="2">
        <v>11340</v>
      </c>
      <c r="F568" s="2">
        <v>83160</v>
      </c>
      <c r="G568" s="2">
        <v>70200</v>
      </c>
      <c r="H568" s="2">
        <v>12960</v>
      </c>
      <c r="I568" s="1">
        <v>43497</v>
      </c>
      <c r="J568" t="s">
        <v>22</v>
      </c>
      <c r="K568">
        <v>2019</v>
      </c>
      <c r="L568" s="2"/>
    </row>
    <row r="569" spans="1:12" x14ac:dyDescent="0.3">
      <c r="A569" t="s">
        <v>3</v>
      </c>
      <c r="B569" t="s">
        <v>33</v>
      </c>
      <c r="C569" t="s">
        <v>9</v>
      </c>
      <c r="D569" s="2">
        <v>23950.5</v>
      </c>
      <c r="E569" s="2">
        <v>2874.06</v>
      </c>
      <c r="F569" s="2">
        <v>21076.44</v>
      </c>
      <c r="G569" s="2">
        <v>17107.5</v>
      </c>
      <c r="H569" s="2">
        <v>3968.9399999999987</v>
      </c>
      <c r="I569" s="1">
        <v>43647</v>
      </c>
      <c r="J569" t="s">
        <v>26</v>
      </c>
      <c r="K569">
        <v>2019</v>
      </c>
      <c r="L569" s="2"/>
    </row>
    <row r="570" spans="1:12" x14ac:dyDescent="0.3">
      <c r="A570" t="s">
        <v>3</v>
      </c>
      <c r="B570" t="s">
        <v>10</v>
      </c>
      <c r="C570" t="s">
        <v>9</v>
      </c>
      <c r="D570" s="2">
        <v>19138</v>
      </c>
      <c r="E570" s="2">
        <v>2296.56</v>
      </c>
      <c r="F570" s="2">
        <v>16841.439999999999</v>
      </c>
      <c r="G570" s="2">
        <v>13670</v>
      </c>
      <c r="H570" s="2">
        <v>3171.4399999999987</v>
      </c>
      <c r="I570" s="1">
        <v>43739</v>
      </c>
      <c r="J570" t="s">
        <v>29</v>
      </c>
      <c r="K570">
        <v>2019</v>
      </c>
      <c r="L570" s="2"/>
    </row>
    <row r="571" spans="1:12" x14ac:dyDescent="0.3">
      <c r="A571" t="s">
        <v>16</v>
      </c>
      <c r="B571" t="s">
        <v>12</v>
      </c>
      <c r="C571" t="s">
        <v>9</v>
      </c>
      <c r="D571" s="2">
        <v>38220</v>
      </c>
      <c r="E571" s="2">
        <v>4586.3999999999996</v>
      </c>
      <c r="F571" s="2">
        <v>33633.599999999999</v>
      </c>
      <c r="G571" s="2">
        <v>25480</v>
      </c>
      <c r="H571" s="2">
        <v>8153.5999999999985</v>
      </c>
      <c r="I571" s="1">
        <v>43405</v>
      </c>
      <c r="J571" t="s">
        <v>30</v>
      </c>
      <c r="K571">
        <v>2018</v>
      </c>
      <c r="L571" s="2"/>
    </row>
    <row r="572" spans="1:12" x14ac:dyDescent="0.3">
      <c r="A572" t="s">
        <v>3</v>
      </c>
      <c r="B572" t="s">
        <v>33</v>
      </c>
      <c r="C572" t="s">
        <v>2</v>
      </c>
      <c r="D572" s="2">
        <v>50430</v>
      </c>
      <c r="E572" s="2">
        <v>6051.6</v>
      </c>
      <c r="F572" s="2">
        <v>44378.399999999994</v>
      </c>
      <c r="G572" s="2">
        <v>27736.500000000004</v>
      </c>
      <c r="H572" s="2">
        <v>16641.899999999991</v>
      </c>
      <c r="I572" s="1">
        <v>43466</v>
      </c>
      <c r="J572" t="s">
        <v>21</v>
      </c>
      <c r="K572">
        <v>2019</v>
      </c>
      <c r="L572" s="2"/>
    </row>
    <row r="573" spans="1:12" x14ac:dyDescent="0.3">
      <c r="A573" t="s">
        <v>14</v>
      </c>
      <c r="B573" t="s">
        <v>32</v>
      </c>
      <c r="C573" t="s">
        <v>5</v>
      </c>
      <c r="D573" s="2">
        <v>31932</v>
      </c>
      <c r="E573" s="2">
        <v>3831.84</v>
      </c>
      <c r="F573" s="2">
        <v>28100.16</v>
      </c>
      <c r="G573" s="2">
        <v>7983</v>
      </c>
      <c r="H573" s="2">
        <v>20117.16</v>
      </c>
      <c r="I573" s="1">
        <v>43586</v>
      </c>
      <c r="J573" t="s">
        <v>31</v>
      </c>
      <c r="K573">
        <v>2019</v>
      </c>
      <c r="L573" s="2"/>
    </row>
    <row r="574" spans="1:12" x14ac:dyDescent="0.3">
      <c r="A574" t="s">
        <v>3</v>
      </c>
      <c r="B574" t="s">
        <v>11</v>
      </c>
      <c r="C574" t="s">
        <v>6</v>
      </c>
      <c r="D574" s="2">
        <v>30620</v>
      </c>
      <c r="E574" s="2">
        <v>3674.4</v>
      </c>
      <c r="F574" s="2">
        <v>26945.599999999999</v>
      </c>
      <c r="G574" s="2">
        <v>15310</v>
      </c>
      <c r="H574" s="2">
        <v>11635.599999999999</v>
      </c>
      <c r="I574" s="1">
        <v>43800</v>
      </c>
      <c r="J574" t="s">
        <v>24</v>
      </c>
      <c r="K574">
        <v>2019</v>
      </c>
      <c r="L574" s="2"/>
    </row>
    <row r="575" spans="1:12" x14ac:dyDescent="0.3">
      <c r="A575" t="s">
        <v>3</v>
      </c>
      <c r="B575" t="s">
        <v>33</v>
      </c>
      <c r="C575" t="s">
        <v>8</v>
      </c>
      <c r="D575" s="2">
        <v>10437</v>
      </c>
      <c r="E575" s="2">
        <v>1252.44</v>
      </c>
      <c r="F575" s="2">
        <v>9184.56</v>
      </c>
      <c r="G575" s="2">
        <v>7455</v>
      </c>
      <c r="H575" s="2">
        <v>1729.5599999999995</v>
      </c>
      <c r="I575" s="1">
        <v>43525</v>
      </c>
      <c r="J575" t="s">
        <v>25</v>
      </c>
      <c r="K575">
        <v>2019</v>
      </c>
      <c r="L575" s="2"/>
    </row>
    <row r="576" spans="1:12" x14ac:dyDescent="0.3">
      <c r="A576" t="s">
        <v>3</v>
      </c>
      <c r="B576" t="s">
        <v>11</v>
      </c>
      <c r="C576" t="s">
        <v>8</v>
      </c>
      <c r="D576" s="2">
        <v>30620</v>
      </c>
      <c r="E576" s="2">
        <v>3674.4</v>
      </c>
      <c r="F576" s="2">
        <v>26945.599999999999</v>
      </c>
      <c r="G576" s="2">
        <v>15310</v>
      </c>
      <c r="H576" s="2">
        <v>11635.599999999999</v>
      </c>
      <c r="I576" s="1">
        <v>43800</v>
      </c>
      <c r="J576" t="s">
        <v>24</v>
      </c>
      <c r="K576">
        <v>2019</v>
      </c>
      <c r="L576" s="2"/>
    </row>
    <row r="577" spans="1:12" x14ac:dyDescent="0.3">
      <c r="A577" t="s">
        <v>14</v>
      </c>
      <c r="B577" t="s">
        <v>10</v>
      </c>
      <c r="C577" t="s">
        <v>9</v>
      </c>
      <c r="D577" s="2">
        <v>33132</v>
      </c>
      <c r="E577" s="2">
        <v>3975.84</v>
      </c>
      <c r="F577" s="2">
        <v>29156.16</v>
      </c>
      <c r="G577" s="2">
        <v>8283</v>
      </c>
      <c r="H577" s="2">
        <v>20873.16</v>
      </c>
      <c r="I577" s="1">
        <v>43344</v>
      </c>
      <c r="J577" t="s">
        <v>28</v>
      </c>
      <c r="K577">
        <v>2018</v>
      </c>
      <c r="L577" s="2"/>
    </row>
    <row r="578" spans="1:12" x14ac:dyDescent="0.3">
      <c r="A578" t="s">
        <v>16</v>
      </c>
      <c r="B578" t="s">
        <v>12</v>
      </c>
      <c r="C578" t="s">
        <v>2</v>
      </c>
      <c r="D578" s="2">
        <v>38505</v>
      </c>
      <c r="E578" s="2">
        <v>5005.6499999999996</v>
      </c>
      <c r="F578" s="2">
        <v>33499.35</v>
      </c>
      <c r="G578" s="2">
        <v>28237.000000000004</v>
      </c>
      <c r="H578" s="2">
        <v>5262.3499999999949</v>
      </c>
      <c r="I578" s="1">
        <v>43617</v>
      </c>
      <c r="J578" t="s">
        <v>23</v>
      </c>
      <c r="K578">
        <v>2019</v>
      </c>
      <c r="L578" s="2"/>
    </row>
    <row r="579" spans="1:12" x14ac:dyDescent="0.3">
      <c r="A579" t="s">
        <v>16</v>
      </c>
      <c r="B579" t="s">
        <v>12</v>
      </c>
      <c r="C579" t="s">
        <v>8</v>
      </c>
      <c r="D579" s="2">
        <v>38505</v>
      </c>
      <c r="E579" s="2">
        <v>5005.6499999999996</v>
      </c>
      <c r="F579" s="2">
        <v>33499.35</v>
      </c>
      <c r="G579" s="2">
        <v>25670</v>
      </c>
      <c r="H579" s="2">
        <v>7829.3499999999985</v>
      </c>
      <c r="I579" s="1">
        <v>43617</v>
      </c>
      <c r="J579" t="s">
        <v>23</v>
      </c>
      <c r="K579">
        <v>2019</v>
      </c>
      <c r="L579" s="2"/>
    </row>
    <row r="580" spans="1:12" x14ac:dyDescent="0.3">
      <c r="A580" t="s">
        <v>3</v>
      </c>
      <c r="B580" t="s">
        <v>10</v>
      </c>
      <c r="C580" t="s">
        <v>2</v>
      </c>
      <c r="D580" s="2">
        <v>323050</v>
      </c>
      <c r="E580" s="2">
        <v>41996.5</v>
      </c>
      <c r="F580" s="2">
        <v>281053.5</v>
      </c>
      <c r="G580" s="2">
        <v>263978</v>
      </c>
      <c r="H580" s="2">
        <v>17075.5</v>
      </c>
      <c r="I580" s="1">
        <v>43525</v>
      </c>
      <c r="J580" t="s">
        <v>25</v>
      </c>
      <c r="K580">
        <v>2019</v>
      </c>
      <c r="L580" s="2"/>
    </row>
    <row r="581" spans="1:12" x14ac:dyDescent="0.3">
      <c r="A581" t="s">
        <v>3</v>
      </c>
      <c r="B581" t="s">
        <v>33</v>
      </c>
      <c r="C581" t="s">
        <v>2</v>
      </c>
      <c r="D581" s="2">
        <v>626500</v>
      </c>
      <c r="E581" s="2">
        <v>81445</v>
      </c>
      <c r="F581" s="2">
        <v>545055</v>
      </c>
      <c r="G581" s="2">
        <v>511940.00000000006</v>
      </c>
      <c r="H581" s="2">
        <v>33114.999999999942</v>
      </c>
      <c r="I581" s="1">
        <v>43525</v>
      </c>
      <c r="J581" t="s">
        <v>25</v>
      </c>
      <c r="K581">
        <v>2019</v>
      </c>
      <c r="L581" s="2"/>
    </row>
    <row r="582" spans="1:12" x14ac:dyDescent="0.3">
      <c r="A582" t="s">
        <v>3</v>
      </c>
      <c r="B582" t="s">
        <v>11</v>
      </c>
      <c r="C582" t="s">
        <v>2</v>
      </c>
      <c r="D582" s="2">
        <v>8840</v>
      </c>
      <c r="E582" s="2">
        <v>1149.2</v>
      </c>
      <c r="F582" s="2">
        <v>7690.8</v>
      </c>
      <c r="G582" s="2">
        <v>4862</v>
      </c>
      <c r="H582" s="2">
        <v>2828.8</v>
      </c>
      <c r="I582" s="1">
        <v>43344</v>
      </c>
      <c r="J582" t="s">
        <v>28</v>
      </c>
      <c r="K582">
        <v>2018</v>
      </c>
      <c r="L582" s="2"/>
    </row>
    <row r="583" spans="1:12" x14ac:dyDescent="0.3">
      <c r="A583" t="s">
        <v>3</v>
      </c>
      <c r="B583" t="s">
        <v>12</v>
      </c>
      <c r="C583" t="s">
        <v>5</v>
      </c>
      <c r="D583" s="2">
        <v>343875</v>
      </c>
      <c r="E583" s="2">
        <v>44703.75</v>
      </c>
      <c r="F583" s="2">
        <v>299171.25</v>
      </c>
      <c r="G583" s="2">
        <v>255450</v>
      </c>
      <c r="H583" s="2">
        <v>43721.25</v>
      </c>
      <c r="I583" s="1">
        <v>43466</v>
      </c>
      <c r="J583" t="s">
        <v>21</v>
      </c>
      <c r="K583">
        <v>2019</v>
      </c>
      <c r="L583" s="2"/>
    </row>
    <row r="584" spans="1:12" x14ac:dyDescent="0.3">
      <c r="A584" t="s">
        <v>3</v>
      </c>
      <c r="B584" t="s">
        <v>12</v>
      </c>
      <c r="C584" t="s">
        <v>5</v>
      </c>
      <c r="D584" s="2">
        <v>9086</v>
      </c>
      <c r="E584" s="2">
        <v>1181.18</v>
      </c>
      <c r="F584" s="2">
        <v>7904.82</v>
      </c>
      <c r="G584" s="2">
        <v>6490</v>
      </c>
      <c r="H584" s="2">
        <v>1414.8199999999997</v>
      </c>
      <c r="I584" s="1">
        <v>43497</v>
      </c>
      <c r="J584" t="s">
        <v>22</v>
      </c>
      <c r="K584">
        <v>2019</v>
      </c>
      <c r="L584" s="2"/>
    </row>
    <row r="585" spans="1:12" x14ac:dyDescent="0.3">
      <c r="A585" t="s">
        <v>14</v>
      </c>
      <c r="B585" t="s">
        <v>32</v>
      </c>
      <c r="C585" t="s">
        <v>5</v>
      </c>
      <c r="D585" s="2">
        <v>7248</v>
      </c>
      <c r="E585" s="2">
        <v>942.24</v>
      </c>
      <c r="F585" s="2">
        <v>6305.76</v>
      </c>
      <c r="G585" s="2">
        <v>1812</v>
      </c>
      <c r="H585" s="2">
        <v>4493.76</v>
      </c>
      <c r="I585" s="1">
        <v>43617</v>
      </c>
      <c r="J585" t="s">
        <v>23</v>
      </c>
      <c r="K585">
        <v>2019</v>
      </c>
      <c r="L585" s="2"/>
    </row>
    <row r="586" spans="1:12" x14ac:dyDescent="0.3">
      <c r="A586" t="s">
        <v>3</v>
      </c>
      <c r="B586" t="s">
        <v>32</v>
      </c>
      <c r="C586" t="s">
        <v>5</v>
      </c>
      <c r="D586" s="2">
        <v>45100</v>
      </c>
      <c r="E586" s="2">
        <v>5863</v>
      </c>
      <c r="F586" s="2">
        <v>39237</v>
      </c>
      <c r="G586" s="2">
        <v>22550</v>
      </c>
      <c r="H586" s="2">
        <v>16687</v>
      </c>
      <c r="I586" s="1">
        <v>43647</v>
      </c>
      <c r="J586" t="s">
        <v>26</v>
      </c>
      <c r="K586">
        <v>2019</v>
      </c>
      <c r="L586" s="2"/>
    </row>
    <row r="587" spans="1:12" x14ac:dyDescent="0.3">
      <c r="A587" t="s">
        <v>3</v>
      </c>
      <c r="B587" t="s">
        <v>10</v>
      </c>
      <c r="C587" t="s">
        <v>5</v>
      </c>
      <c r="D587" s="2">
        <v>24980</v>
      </c>
      <c r="E587" s="2">
        <v>3247.4</v>
      </c>
      <c r="F587" s="2">
        <v>21732.6</v>
      </c>
      <c r="G587" s="2">
        <v>12490</v>
      </c>
      <c r="H587" s="2">
        <v>9242.5999999999985</v>
      </c>
      <c r="I587" s="1">
        <v>43739</v>
      </c>
      <c r="J587" t="s">
        <v>29</v>
      </c>
      <c r="K587">
        <v>2019</v>
      </c>
      <c r="L587" s="2"/>
    </row>
    <row r="588" spans="1:12" x14ac:dyDescent="0.3">
      <c r="A588" t="s">
        <v>3</v>
      </c>
      <c r="B588" t="s">
        <v>12</v>
      </c>
      <c r="C588" t="s">
        <v>6</v>
      </c>
      <c r="D588" s="2">
        <v>10069.5</v>
      </c>
      <c r="E588" s="2">
        <v>1309.0350000000001</v>
      </c>
      <c r="F588" s="2">
        <v>8760.4650000000001</v>
      </c>
      <c r="G588" s="2">
        <v>7192.5</v>
      </c>
      <c r="H588" s="2">
        <v>1567.9650000000001</v>
      </c>
      <c r="I588" s="1">
        <v>43466</v>
      </c>
      <c r="J588" t="s">
        <v>21</v>
      </c>
      <c r="K588">
        <v>2019</v>
      </c>
      <c r="L588" s="2"/>
    </row>
    <row r="589" spans="1:12" x14ac:dyDescent="0.3">
      <c r="A589" t="s">
        <v>13</v>
      </c>
      <c r="B589" t="s">
        <v>11</v>
      </c>
      <c r="C589" t="s">
        <v>6</v>
      </c>
      <c r="D589" s="2">
        <v>242100</v>
      </c>
      <c r="E589" s="2">
        <v>31473</v>
      </c>
      <c r="F589" s="2">
        <v>210627</v>
      </c>
      <c r="G589" s="2">
        <v>201750</v>
      </c>
      <c r="H589" s="2">
        <v>8877</v>
      </c>
      <c r="I589" s="1">
        <v>43466</v>
      </c>
      <c r="J589" t="s">
        <v>21</v>
      </c>
      <c r="K589">
        <v>2019</v>
      </c>
      <c r="L589" s="2"/>
    </row>
    <row r="590" spans="1:12" x14ac:dyDescent="0.3">
      <c r="A590" t="s">
        <v>3</v>
      </c>
      <c r="B590" t="s">
        <v>12</v>
      </c>
      <c r="C590" t="s">
        <v>6</v>
      </c>
      <c r="D590" s="2">
        <v>52820</v>
      </c>
      <c r="E590" s="2">
        <v>6866.6</v>
      </c>
      <c r="F590" s="2">
        <v>45953.4</v>
      </c>
      <c r="G590" s="2">
        <v>26410</v>
      </c>
      <c r="H590" s="2">
        <v>19543.400000000001</v>
      </c>
      <c r="I590" s="1">
        <v>43497</v>
      </c>
      <c r="J590" t="s">
        <v>22</v>
      </c>
      <c r="K590">
        <v>2019</v>
      </c>
      <c r="L590" s="2"/>
    </row>
    <row r="591" spans="1:12" x14ac:dyDescent="0.3">
      <c r="A591" t="s">
        <v>3</v>
      </c>
      <c r="B591" t="s">
        <v>11</v>
      </c>
      <c r="C591" t="s">
        <v>6</v>
      </c>
      <c r="D591" s="2">
        <v>54160</v>
      </c>
      <c r="E591" s="2">
        <v>7040.8</v>
      </c>
      <c r="F591" s="2">
        <v>47119.199999999997</v>
      </c>
      <c r="G591" s="2">
        <v>27080</v>
      </c>
      <c r="H591" s="2">
        <v>20039.199999999997</v>
      </c>
      <c r="I591" s="1">
        <v>43497</v>
      </c>
      <c r="J591" t="s">
        <v>22</v>
      </c>
      <c r="K591">
        <v>2019</v>
      </c>
      <c r="L591" s="2"/>
    </row>
    <row r="592" spans="1:12" x14ac:dyDescent="0.3">
      <c r="A592" t="s">
        <v>3</v>
      </c>
      <c r="B592" t="s">
        <v>10</v>
      </c>
      <c r="C592" t="s">
        <v>6</v>
      </c>
      <c r="D592" s="2">
        <v>921200</v>
      </c>
      <c r="E592" s="2">
        <v>119756</v>
      </c>
      <c r="F592" s="2">
        <v>801444</v>
      </c>
      <c r="G592" s="2">
        <v>684320</v>
      </c>
      <c r="H592" s="2">
        <v>117124</v>
      </c>
      <c r="I592" s="1">
        <v>43617</v>
      </c>
      <c r="J592" t="s">
        <v>23</v>
      </c>
      <c r="K592">
        <v>2019</v>
      </c>
      <c r="L592" s="2"/>
    </row>
    <row r="593" spans="1:12" x14ac:dyDescent="0.3">
      <c r="A593" t="s">
        <v>17</v>
      </c>
      <c r="B593" t="s">
        <v>10</v>
      </c>
      <c r="C593" t="s">
        <v>6</v>
      </c>
      <c r="D593" s="2">
        <v>197875</v>
      </c>
      <c r="E593" s="2">
        <v>25723.75</v>
      </c>
      <c r="F593" s="2">
        <v>172151.25</v>
      </c>
      <c r="G593" s="2">
        <v>189960</v>
      </c>
      <c r="H593" s="2">
        <v>-17808.75</v>
      </c>
      <c r="I593" s="1">
        <v>43617</v>
      </c>
      <c r="J593" t="s">
        <v>23</v>
      </c>
      <c r="K593">
        <v>2019</v>
      </c>
      <c r="L593" s="2"/>
    </row>
    <row r="594" spans="1:12" x14ac:dyDescent="0.3">
      <c r="A594" t="s">
        <v>14</v>
      </c>
      <c r="B594" t="s">
        <v>32</v>
      </c>
      <c r="C594" t="s">
        <v>6</v>
      </c>
      <c r="D594" s="2">
        <v>6852</v>
      </c>
      <c r="E594" s="2">
        <v>890.76</v>
      </c>
      <c r="F594" s="2">
        <v>5961.24</v>
      </c>
      <c r="G594" s="2">
        <v>1713</v>
      </c>
      <c r="H594" s="2">
        <v>4248.24</v>
      </c>
      <c r="I594" s="1">
        <v>43647</v>
      </c>
      <c r="J594" t="s">
        <v>26</v>
      </c>
      <c r="K594">
        <v>2019</v>
      </c>
      <c r="L594" s="2"/>
    </row>
    <row r="595" spans="1:12" x14ac:dyDescent="0.3">
      <c r="A595" t="s">
        <v>3</v>
      </c>
      <c r="B595" t="s">
        <v>33</v>
      </c>
      <c r="C595" t="s">
        <v>6</v>
      </c>
      <c r="D595" s="2">
        <v>18872</v>
      </c>
      <c r="E595" s="2">
        <v>2453.36</v>
      </c>
      <c r="F595" s="2">
        <v>16418.64</v>
      </c>
      <c r="G595" s="2">
        <v>13480</v>
      </c>
      <c r="H595" s="2">
        <v>2938.6399999999994</v>
      </c>
      <c r="I595" s="1">
        <v>43678</v>
      </c>
      <c r="J595" t="s">
        <v>27</v>
      </c>
      <c r="K595">
        <v>2019</v>
      </c>
      <c r="L595" s="2"/>
    </row>
    <row r="596" spans="1:12" x14ac:dyDescent="0.3">
      <c r="A596" t="s">
        <v>16</v>
      </c>
      <c r="B596" t="s">
        <v>10</v>
      </c>
      <c r="C596" t="s">
        <v>6</v>
      </c>
      <c r="D596" s="2">
        <v>23475</v>
      </c>
      <c r="E596" s="2">
        <v>3051.75</v>
      </c>
      <c r="F596" s="2">
        <v>20423.25</v>
      </c>
      <c r="G596" s="2">
        <v>15650</v>
      </c>
      <c r="H596" s="2">
        <v>4773.25</v>
      </c>
      <c r="I596" s="1">
        <v>43739</v>
      </c>
      <c r="J596" t="s">
        <v>29</v>
      </c>
      <c r="K596">
        <v>2019</v>
      </c>
      <c r="L596" s="2"/>
    </row>
    <row r="597" spans="1:12" x14ac:dyDescent="0.3">
      <c r="A597" t="s">
        <v>3</v>
      </c>
      <c r="B597" t="s">
        <v>10</v>
      </c>
      <c r="C597" t="s">
        <v>6</v>
      </c>
      <c r="D597" s="2">
        <v>24980</v>
      </c>
      <c r="E597" s="2">
        <v>3247.4</v>
      </c>
      <c r="F597" s="2">
        <v>21732.6</v>
      </c>
      <c r="G597" s="2">
        <v>12490</v>
      </c>
      <c r="H597" s="2">
        <v>9242.5999999999985</v>
      </c>
      <c r="I597" s="1">
        <v>43739</v>
      </c>
      <c r="J597" t="s">
        <v>29</v>
      </c>
      <c r="K597">
        <v>2019</v>
      </c>
      <c r="L597" s="2"/>
    </row>
    <row r="598" spans="1:12" x14ac:dyDescent="0.3">
      <c r="A598" t="s">
        <v>3</v>
      </c>
      <c r="B598" t="s">
        <v>11</v>
      </c>
      <c r="C598" t="s">
        <v>6</v>
      </c>
      <c r="D598" s="2">
        <v>124950</v>
      </c>
      <c r="E598" s="2">
        <v>16243.5</v>
      </c>
      <c r="F598" s="2">
        <v>108706.5</v>
      </c>
      <c r="G598" s="2">
        <v>92820</v>
      </c>
      <c r="H598" s="2">
        <v>15886.5</v>
      </c>
      <c r="I598" s="1">
        <v>43770</v>
      </c>
      <c r="J598" t="s">
        <v>30</v>
      </c>
      <c r="K598">
        <v>2019</v>
      </c>
      <c r="L598" s="2"/>
    </row>
    <row r="599" spans="1:12" x14ac:dyDescent="0.3">
      <c r="A599" t="s">
        <v>14</v>
      </c>
      <c r="B599" t="s">
        <v>11</v>
      </c>
      <c r="C599" t="s">
        <v>6</v>
      </c>
      <c r="D599" s="2">
        <v>12156</v>
      </c>
      <c r="E599" s="2">
        <v>1580.28</v>
      </c>
      <c r="F599" s="2">
        <v>10575.72</v>
      </c>
      <c r="G599" s="2">
        <v>3039</v>
      </c>
      <c r="H599" s="2">
        <v>7536.7199999999993</v>
      </c>
      <c r="I599" s="1">
        <v>43800</v>
      </c>
      <c r="J599" t="s">
        <v>24</v>
      </c>
      <c r="K599">
        <v>2019</v>
      </c>
      <c r="L599" s="2"/>
    </row>
    <row r="600" spans="1:12" x14ac:dyDescent="0.3">
      <c r="A600" t="s">
        <v>16</v>
      </c>
      <c r="B600" t="s">
        <v>33</v>
      </c>
      <c r="C600" t="s">
        <v>7</v>
      </c>
      <c r="D600" s="2">
        <v>59962.5</v>
      </c>
      <c r="E600" s="2">
        <v>7795.125</v>
      </c>
      <c r="F600" s="2">
        <v>52167.375</v>
      </c>
      <c r="G600" s="2">
        <v>39975</v>
      </c>
      <c r="H600" s="2">
        <v>12192.375</v>
      </c>
      <c r="I600" s="1">
        <v>43466</v>
      </c>
      <c r="J600" t="s">
        <v>21</v>
      </c>
      <c r="K600">
        <v>2019</v>
      </c>
      <c r="L600" s="2"/>
    </row>
    <row r="601" spans="1:12" x14ac:dyDescent="0.3">
      <c r="A601" t="s">
        <v>3</v>
      </c>
      <c r="B601" t="s">
        <v>10</v>
      </c>
      <c r="C601" t="s">
        <v>7</v>
      </c>
      <c r="D601" s="2">
        <v>921200</v>
      </c>
      <c r="E601" s="2">
        <v>119756</v>
      </c>
      <c r="F601" s="2">
        <v>801444</v>
      </c>
      <c r="G601" s="2">
        <v>684320</v>
      </c>
      <c r="H601" s="2">
        <v>117124</v>
      </c>
      <c r="I601" s="1">
        <v>43617</v>
      </c>
      <c r="J601" t="s">
        <v>23</v>
      </c>
      <c r="K601">
        <v>2019</v>
      </c>
      <c r="L601" s="2"/>
    </row>
    <row r="602" spans="1:12" x14ac:dyDescent="0.3">
      <c r="A602" t="s">
        <v>3</v>
      </c>
      <c r="B602" t="s">
        <v>33</v>
      </c>
      <c r="C602" t="s">
        <v>7</v>
      </c>
      <c r="D602" s="2">
        <v>8330</v>
      </c>
      <c r="E602" s="2">
        <v>1082.9000000000001</v>
      </c>
      <c r="F602" s="2">
        <v>7247.1</v>
      </c>
      <c r="G602" s="2">
        <v>5950</v>
      </c>
      <c r="H602" s="2">
        <v>1297.1000000000004</v>
      </c>
      <c r="I602" s="1">
        <v>43617</v>
      </c>
      <c r="J602" t="s">
        <v>23</v>
      </c>
      <c r="K602">
        <v>2019</v>
      </c>
      <c r="L602" s="2"/>
    </row>
    <row r="603" spans="1:12" x14ac:dyDescent="0.3">
      <c r="A603" t="s">
        <v>14</v>
      </c>
      <c r="B603" t="s">
        <v>32</v>
      </c>
      <c r="C603" t="s">
        <v>7</v>
      </c>
      <c r="D603" s="2">
        <v>7248</v>
      </c>
      <c r="E603" s="2">
        <v>942.24</v>
      </c>
      <c r="F603" s="2">
        <v>6305.76</v>
      </c>
      <c r="G603" s="2">
        <v>1812</v>
      </c>
      <c r="H603" s="2">
        <v>4493.76</v>
      </c>
      <c r="I603" s="1">
        <v>43617</v>
      </c>
      <c r="J603" t="s">
        <v>23</v>
      </c>
      <c r="K603">
        <v>2019</v>
      </c>
      <c r="L603" s="2"/>
    </row>
    <row r="604" spans="1:12" x14ac:dyDescent="0.3">
      <c r="A604" t="s">
        <v>16</v>
      </c>
      <c r="B604" t="s">
        <v>11</v>
      </c>
      <c r="C604" t="s">
        <v>7</v>
      </c>
      <c r="D604" s="2">
        <v>9900</v>
      </c>
      <c r="E604" s="2">
        <v>1287</v>
      </c>
      <c r="F604" s="2">
        <v>8613</v>
      </c>
      <c r="G604" s="2">
        <v>6600</v>
      </c>
      <c r="H604" s="2">
        <v>2013</v>
      </c>
      <c r="I604" s="1">
        <v>43344</v>
      </c>
      <c r="J604" t="s">
        <v>28</v>
      </c>
      <c r="K604">
        <v>2018</v>
      </c>
      <c r="L604" s="2"/>
    </row>
    <row r="605" spans="1:12" x14ac:dyDescent="0.3">
      <c r="A605" t="s">
        <v>14</v>
      </c>
      <c r="B605" t="s">
        <v>32</v>
      </c>
      <c r="C605" t="s">
        <v>7</v>
      </c>
      <c r="D605" s="2">
        <v>4920</v>
      </c>
      <c r="E605" s="2">
        <v>639.6</v>
      </c>
      <c r="F605" s="2">
        <v>4280.3999999999996</v>
      </c>
      <c r="G605" s="2">
        <v>1230</v>
      </c>
      <c r="H605" s="2">
        <v>3050.3999999999996</v>
      </c>
      <c r="I605" s="1">
        <v>43739</v>
      </c>
      <c r="J605" t="s">
        <v>29</v>
      </c>
      <c r="K605">
        <v>2019</v>
      </c>
      <c r="L605" s="2"/>
    </row>
    <row r="606" spans="1:12" x14ac:dyDescent="0.3">
      <c r="A606" t="s">
        <v>13</v>
      </c>
      <c r="B606" t="s">
        <v>32</v>
      </c>
      <c r="C606" t="s">
        <v>7</v>
      </c>
      <c r="D606" s="2">
        <v>781500</v>
      </c>
      <c r="E606" s="2">
        <v>101595</v>
      </c>
      <c r="F606" s="2">
        <v>679905</v>
      </c>
      <c r="G606" s="2">
        <v>651250</v>
      </c>
      <c r="H606" s="2">
        <v>28655</v>
      </c>
      <c r="I606" s="1">
        <v>43405</v>
      </c>
      <c r="J606" t="s">
        <v>30</v>
      </c>
      <c r="K606">
        <v>2018</v>
      </c>
      <c r="L606" s="2"/>
    </row>
    <row r="607" spans="1:12" x14ac:dyDescent="0.3">
      <c r="A607" t="s">
        <v>14</v>
      </c>
      <c r="B607" t="s">
        <v>11</v>
      </c>
      <c r="C607" t="s">
        <v>7</v>
      </c>
      <c r="D607" s="2">
        <v>12156</v>
      </c>
      <c r="E607" s="2">
        <v>1580.28</v>
      </c>
      <c r="F607" s="2">
        <v>10575.72</v>
      </c>
      <c r="G607" s="2">
        <v>3039</v>
      </c>
      <c r="H607" s="2">
        <v>7536.7199999999993</v>
      </c>
      <c r="I607" s="1">
        <v>43800</v>
      </c>
      <c r="J607" t="s">
        <v>24</v>
      </c>
      <c r="K607">
        <v>2019</v>
      </c>
      <c r="L607" s="2"/>
    </row>
    <row r="608" spans="1:12" x14ac:dyDescent="0.3">
      <c r="A608" t="s">
        <v>17</v>
      </c>
      <c r="B608" t="s">
        <v>10</v>
      </c>
      <c r="C608" t="s">
        <v>8</v>
      </c>
      <c r="D608" s="2">
        <v>197875</v>
      </c>
      <c r="E608" s="2">
        <v>25723.75</v>
      </c>
      <c r="F608" s="2">
        <v>172151.25</v>
      </c>
      <c r="G608" s="2">
        <v>189960</v>
      </c>
      <c r="H608" s="2">
        <v>-17808.75</v>
      </c>
      <c r="I608" s="1">
        <v>43617</v>
      </c>
      <c r="J608" t="s">
        <v>23</v>
      </c>
      <c r="K608">
        <v>2019</v>
      </c>
      <c r="L608" s="2"/>
    </row>
    <row r="609" spans="1:12" x14ac:dyDescent="0.3">
      <c r="A609" t="s">
        <v>16</v>
      </c>
      <c r="B609" t="s">
        <v>10</v>
      </c>
      <c r="C609" t="s">
        <v>8</v>
      </c>
      <c r="D609" s="2">
        <v>23475</v>
      </c>
      <c r="E609" s="2">
        <v>3051.75</v>
      </c>
      <c r="F609" s="2">
        <v>20423.25</v>
      </c>
      <c r="G609" s="2">
        <v>15650</v>
      </c>
      <c r="H609" s="2">
        <v>4773.25</v>
      </c>
      <c r="I609" s="1">
        <v>43739</v>
      </c>
      <c r="J609" t="s">
        <v>29</v>
      </c>
      <c r="K609">
        <v>2019</v>
      </c>
      <c r="L609" s="2"/>
    </row>
    <row r="610" spans="1:12" x14ac:dyDescent="0.3">
      <c r="A610" t="s">
        <v>17</v>
      </c>
      <c r="B610" t="s">
        <v>10</v>
      </c>
      <c r="C610" t="s">
        <v>9</v>
      </c>
      <c r="D610" s="2">
        <v>207375</v>
      </c>
      <c r="E610" s="2">
        <v>26958.75</v>
      </c>
      <c r="F610" s="2">
        <v>180416.25</v>
      </c>
      <c r="G610" s="2">
        <v>199080</v>
      </c>
      <c r="H610" s="2">
        <v>-18663.75</v>
      </c>
      <c r="I610" s="1">
        <v>43466</v>
      </c>
      <c r="J610" t="s">
        <v>21</v>
      </c>
      <c r="K610">
        <v>2019</v>
      </c>
      <c r="L610" s="2"/>
    </row>
    <row r="611" spans="1:12" x14ac:dyDescent="0.3">
      <c r="A611" t="s">
        <v>3</v>
      </c>
      <c r="B611" t="s">
        <v>33</v>
      </c>
      <c r="C611" t="s">
        <v>9</v>
      </c>
      <c r="D611" s="2">
        <v>8330</v>
      </c>
      <c r="E611" s="2">
        <v>1082.9000000000001</v>
      </c>
      <c r="F611" s="2">
        <v>7247.1</v>
      </c>
      <c r="G611" s="2">
        <v>5950</v>
      </c>
      <c r="H611" s="2">
        <v>1297.1000000000004</v>
      </c>
      <c r="I611" s="1">
        <v>43617</v>
      </c>
      <c r="J611" t="s">
        <v>23</v>
      </c>
      <c r="K611">
        <v>2019</v>
      </c>
      <c r="L611" s="2"/>
    </row>
    <row r="612" spans="1:12" x14ac:dyDescent="0.3">
      <c r="A612" t="s">
        <v>14</v>
      </c>
      <c r="B612" t="s">
        <v>32</v>
      </c>
      <c r="C612" t="s">
        <v>9</v>
      </c>
      <c r="D612" s="2">
        <v>4920</v>
      </c>
      <c r="E612" s="2">
        <v>639.6</v>
      </c>
      <c r="F612" s="2">
        <v>4280.3999999999996</v>
      </c>
      <c r="G612" s="2">
        <v>1230</v>
      </c>
      <c r="H612" s="2">
        <v>3050.3999999999996</v>
      </c>
      <c r="I612" s="1">
        <v>43739</v>
      </c>
      <c r="J612" t="s">
        <v>29</v>
      </c>
      <c r="K612">
        <v>2019</v>
      </c>
      <c r="L612" s="2"/>
    </row>
    <row r="613" spans="1:12" x14ac:dyDescent="0.3">
      <c r="A613" t="s">
        <v>14</v>
      </c>
      <c r="B613" t="s">
        <v>11</v>
      </c>
      <c r="C613" t="s">
        <v>9</v>
      </c>
      <c r="D613" s="2">
        <v>21240</v>
      </c>
      <c r="E613" s="2">
        <v>2761.2</v>
      </c>
      <c r="F613" s="2">
        <v>18478.8</v>
      </c>
      <c r="G613" s="2">
        <v>5310</v>
      </c>
      <c r="H613" s="2">
        <v>13168.8</v>
      </c>
      <c r="I613" s="1">
        <v>43435</v>
      </c>
      <c r="J613" t="s">
        <v>24</v>
      </c>
      <c r="K613">
        <v>2018</v>
      </c>
      <c r="L613" s="2"/>
    </row>
    <row r="614" spans="1:12" x14ac:dyDescent="0.3">
      <c r="A614" t="s">
        <v>3</v>
      </c>
      <c r="B614" t="s">
        <v>32</v>
      </c>
      <c r="C614" t="s">
        <v>2</v>
      </c>
      <c r="D614" s="2">
        <v>51580</v>
      </c>
      <c r="E614" s="2">
        <v>7221.2</v>
      </c>
      <c r="F614" s="2">
        <v>44358.8</v>
      </c>
      <c r="G614" s="2">
        <v>28369.000000000004</v>
      </c>
      <c r="H614" s="2">
        <v>15989.8</v>
      </c>
      <c r="I614" s="1">
        <v>43556</v>
      </c>
      <c r="J614" t="s">
        <v>38</v>
      </c>
      <c r="K614">
        <v>2019</v>
      </c>
      <c r="L614" s="2"/>
    </row>
    <row r="615" spans="1:12" x14ac:dyDescent="0.3">
      <c r="A615" t="s">
        <v>3</v>
      </c>
      <c r="B615" t="s">
        <v>12</v>
      </c>
      <c r="C615" t="s">
        <v>2</v>
      </c>
      <c r="D615" s="2">
        <v>34860</v>
      </c>
      <c r="E615" s="2">
        <v>4880.3999999999996</v>
      </c>
      <c r="F615" s="2">
        <v>29979.599999999999</v>
      </c>
      <c r="G615" s="2">
        <v>19173</v>
      </c>
      <c r="H615" s="2">
        <v>10806.599999999999</v>
      </c>
      <c r="I615" s="1">
        <v>43586</v>
      </c>
      <c r="J615" t="s">
        <v>31</v>
      </c>
      <c r="K615">
        <v>2019</v>
      </c>
      <c r="L615" s="2"/>
    </row>
    <row r="616" spans="1:12" x14ac:dyDescent="0.3">
      <c r="A616" t="s">
        <v>3</v>
      </c>
      <c r="B616" t="s">
        <v>12</v>
      </c>
      <c r="C616" t="s">
        <v>2</v>
      </c>
      <c r="D616" s="2">
        <v>20972</v>
      </c>
      <c r="E616" s="2">
        <v>2936.08</v>
      </c>
      <c r="F616" s="2">
        <v>18035.919999999998</v>
      </c>
      <c r="G616" s="2">
        <v>16478</v>
      </c>
      <c r="H616" s="2">
        <v>1557.9199999999983</v>
      </c>
      <c r="I616" s="1">
        <v>43374</v>
      </c>
      <c r="J616" t="s">
        <v>29</v>
      </c>
      <c r="K616">
        <v>2018</v>
      </c>
      <c r="L616" s="2"/>
    </row>
    <row r="617" spans="1:12" x14ac:dyDescent="0.3">
      <c r="A617" t="s">
        <v>3</v>
      </c>
      <c r="B617" t="s">
        <v>11</v>
      </c>
      <c r="C617" t="s">
        <v>2</v>
      </c>
      <c r="D617" s="2">
        <v>1960</v>
      </c>
      <c r="E617" s="2">
        <v>274.39999999999998</v>
      </c>
      <c r="F617" s="2">
        <v>1685.6</v>
      </c>
      <c r="G617" s="2">
        <v>1540.0000000000002</v>
      </c>
      <c r="H617" s="2">
        <v>145.59999999999968</v>
      </c>
      <c r="I617" s="1">
        <v>43800</v>
      </c>
      <c r="J617" t="s">
        <v>24</v>
      </c>
      <c r="K617">
        <v>2019</v>
      </c>
      <c r="L617" s="2"/>
    </row>
    <row r="618" spans="1:12" x14ac:dyDescent="0.3">
      <c r="A618" t="s">
        <v>3</v>
      </c>
      <c r="B618" t="s">
        <v>33</v>
      </c>
      <c r="C618" t="s">
        <v>5</v>
      </c>
      <c r="D618" s="2">
        <v>2051</v>
      </c>
      <c r="E618" s="2">
        <v>287.14</v>
      </c>
      <c r="F618" s="2">
        <v>1763.8600000000001</v>
      </c>
      <c r="G618" s="2">
        <v>1465</v>
      </c>
      <c r="H618" s="2">
        <v>298.86000000000013</v>
      </c>
      <c r="I618" s="1">
        <v>43497</v>
      </c>
      <c r="J618" t="s">
        <v>22</v>
      </c>
      <c r="K618">
        <v>2019</v>
      </c>
      <c r="L618" s="2"/>
    </row>
    <row r="619" spans="1:12" x14ac:dyDescent="0.3">
      <c r="A619" t="s">
        <v>3</v>
      </c>
      <c r="B619" t="s">
        <v>12</v>
      </c>
      <c r="C619" t="s">
        <v>5</v>
      </c>
      <c r="D619" s="2">
        <v>20972</v>
      </c>
      <c r="E619" s="2">
        <v>2936.08</v>
      </c>
      <c r="F619" s="2">
        <v>18035.919999999998</v>
      </c>
      <c r="G619" s="2">
        <v>14980</v>
      </c>
      <c r="H619" s="2">
        <v>3055.9199999999983</v>
      </c>
      <c r="I619" s="1">
        <v>43374</v>
      </c>
      <c r="J619" t="s">
        <v>29</v>
      </c>
      <c r="K619">
        <v>2018</v>
      </c>
      <c r="L619" s="2"/>
    </row>
    <row r="620" spans="1:12" x14ac:dyDescent="0.3">
      <c r="A620" t="s">
        <v>16</v>
      </c>
      <c r="B620" t="s">
        <v>11</v>
      </c>
      <c r="C620" t="s">
        <v>6</v>
      </c>
      <c r="D620" s="2">
        <v>4170</v>
      </c>
      <c r="E620" s="2">
        <v>583.79999999999995</v>
      </c>
      <c r="F620" s="2">
        <v>3586.2</v>
      </c>
      <c r="G620" s="2">
        <v>2780</v>
      </c>
      <c r="H620" s="2">
        <v>806.19999999999982</v>
      </c>
      <c r="I620" s="1">
        <v>43497</v>
      </c>
      <c r="J620" t="s">
        <v>22</v>
      </c>
      <c r="K620">
        <v>2019</v>
      </c>
      <c r="L620" s="2"/>
    </row>
    <row r="621" spans="1:12" x14ac:dyDescent="0.3">
      <c r="A621" t="s">
        <v>3</v>
      </c>
      <c r="B621" t="s">
        <v>10</v>
      </c>
      <c r="C621" t="s">
        <v>6</v>
      </c>
      <c r="D621" s="2">
        <v>48560</v>
      </c>
      <c r="E621" s="2">
        <v>6798.4</v>
      </c>
      <c r="F621" s="2">
        <v>41761.599999999999</v>
      </c>
      <c r="G621" s="2">
        <v>24280</v>
      </c>
      <c r="H621" s="2">
        <v>17481.599999999999</v>
      </c>
      <c r="I621" s="1">
        <v>43525</v>
      </c>
      <c r="J621" t="s">
        <v>25</v>
      </c>
      <c r="K621">
        <v>2019</v>
      </c>
      <c r="L621" s="2"/>
    </row>
    <row r="622" spans="1:12" x14ac:dyDescent="0.3">
      <c r="A622" t="s">
        <v>16</v>
      </c>
      <c r="B622" t="s">
        <v>12</v>
      </c>
      <c r="C622" t="s">
        <v>6</v>
      </c>
      <c r="D622" s="2">
        <v>26505</v>
      </c>
      <c r="E622" s="2">
        <v>3710.7</v>
      </c>
      <c r="F622" s="2">
        <v>22794.3</v>
      </c>
      <c r="G622" s="2">
        <v>17670</v>
      </c>
      <c r="H622" s="2">
        <v>5124.2999999999993</v>
      </c>
      <c r="I622" s="1">
        <v>43709</v>
      </c>
      <c r="J622" t="s">
        <v>28</v>
      </c>
      <c r="K622">
        <v>2019</v>
      </c>
      <c r="L622" s="2"/>
    </row>
    <row r="623" spans="1:12" x14ac:dyDescent="0.3">
      <c r="A623" t="s">
        <v>14</v>
      </c>
      <c r="B623" t="s">
        <v>33</v>
      </c>
      <c r="C623" t="s">
        <v>6</v>
      </c>
      <c r="D623" s="2">
        <v>16716</v>
      </c>
      <c r="E623" s="2">
        <v>2340.2399999999998</v>
      </c>
      <c r="F623" s="2">
        <v>14375.76</v>
      </c>
      <c r="G623" s="2">
        <v>4179</v>
      </c>
      <c r="H623" s="2">
        <v>10196.76</v>
      </c>
      <c r="I623" s="1">
        <v>43739</v>
      </c>
      <c r="J623" t="s">
        <v>29</v>
      </c>
      <c r="K623">
        <v>2019</v>
      </c>
      <c r="L623" s="2"/>
    </row>
    <row r="624" spans="1:12" x14ac:dyDescent="0.3">
      <c r="A624" t="s">
        <v>3</v>
      </c>
      <c r="B624" t="s">
        <v>11</v>
      </c>
      <c r="C624" t="s">
        <v>8</v>
      </c>
      <c r="D624" s="2">
        <v>1960</v>
      </c>
      <c r="E624" s="2">
        <v>274.39999999999998</v>
      </c>
      <c r="F624" s="2">
        <v>1685.6</v>
      </c>
      <c r="G624" s="2">
        <v>1400</v>
      </c>
      <c r="H624" s="2">
        <v>285.59999999999991</v>
      </c>
      <c r="I624" s="1">
        <v>43800</v>
      </c>
      <c r="J624" t="s">
        <v>24</v>
      </c>
      <c r="K624">
        <v>2019</v>
      </c>
      <c r="L624" s="2"/>
    </row>
    <row r="625" spans="1:12" x14ac:dyDescent="0.3">
      <c r="A625" t="s">
        <v>14</v>
      </c>
      <c r="B625" t="s">
        <v>33</v>
      </c>
      <c r="C625" t="s">
        <v>9</v>
      </c>
      <c r="D625" s="2">
        <v>16716</v>
      </c>
      <c r="E625" s="2">
        <v>2340.2399999999998</v>
      </c>
      <c r="F625" s="2">
        <v>14375.76</v>
      </c>
      <c r="G625" s="2">
        <v>4179</v>
      </c>
      <c r="H625" s="2">
        <v>10196.76</v>
      </c>
      <c r="I625" s="1">
        <v>43739</v>
      </c>
      <c r="J625" t="s">
        <v>29</v>
      </c>
      <c r="K625">
        <v>2019</v>
      </c>
      <c r="L625" s="2"/>
    </row>
    <row r="626" spans="1:12" x14ac:dyDescent="0.3">
      <c r="A626" t="s">
        <v>14</v>
      </c>
      <c r="B626" t="s">
        <v>12</v>
      </c>
      <c r="C626" t="s">
        <v>9</v>
      </c>
      <c r="D626" s="2">
        <v>24180</v>
      </c>
      <c r="E626" s="2">
        <v>3385.2</v>
      </c>
      <c r="F626" s="2">
        <v>20794.8</v>
      </c>
      <c r="G626" s="2">
        <v>6045</v>
      </c>
      <c r="H626" s="2">
        <v>14749.8</v>
      </c>
      <c r="I626" s="1">
        <v>43435</v>
      </c>
      <c r="J626" t="s">
        <v>24</v>
      </c>
      <c r="K626">
        <v>2018</v>
      </c>
      <c r="L626" s="2"/>
    </row>
    <row r="627" spans="1:12" x14ac:dyDescent="0.3">
      <c r="A627" t="s">
        <v>13</v>
      </c>
      <c r="B627" t="s">
        <v>32</v>
      </c>
      <c r="C627" t="s">
        <v>2</v>
      </c>
      <c r="D627" s="2">
        <v>240300</v>
      </c>
      <c r="E627" s="2">
        <v>33642</v>
      </c>
      <c r="F627" s="2">
        <v>206658</v>
      </c>
      <c r="G627" s="2">
        <v>220275.00000000003</v>
      </c>
      <c r="H627" s="2">
        <v>-13617.000000000029</v>
      </c>
      <c r="I627" s="1">
        <v>43647</v>
      </c>
      <c r="J627" t="s">
        <v>26</v>
      </c>
      <c r="K627">
        <v>2019</v>
      </c>
      <c r="L627" s="2"/>
    </row>
    <row r="628" spans="1:12" x14ac:dyDescent="0.3">
      <c r="A628" t="s">
        <v>17</v>
      </c>
      <c r="B628" t="s">
        <v>33</v>
      </c>
      <c r="C628" t="s">
        <v>2</v>
      </c>
      <c r="D628" s="2">
        <v>127875</v>
      </c>
      <c r="E628" s="2">
        <v>17902.5</v>
      </c>
      <c r="F628" s="2">
        <v>109972.5</v>
      </c>
      <c r="G628" s="2">
        <v>135036</v>
      </c>
      <c r="H628" s="2">
        <v>-25063.5</v>
      </c>
      <c r="I628" s="1">
        <v>43344</v>
      </c>
      <c r="J628" t="s">
        <v>28</v>
      </c>
      <c r="K628">
        <v>2018</v>
      </c>
      <c r="L628" s="2"/>
    </row>
    <row r="629" spans="1:12" x14ac:dyDescent="0.3">
      <c r="A629" t="s">
        <v>13</v>
      </c>
      <c r="B629" t="s">
        <v>10</v>
      </c>
      <c r="C629" t="s">
        <v>2</v>
      </c>
      <c r="D629" s="2">
        <v>448800</v>
      </c>
      <c r="E629" s="2">
        <v>62832</v>
      </c>
      <c r="F629" s="2">
        <v>385968</v>
      </c>
      <c r="G629" s="2">
        <v>411400.00000000006</v>
      </c>
      <c r="H629" s="2">
        <v>-25432.000000000058</v>
      </c>
      <c r="I629" s="1">
        <v>43739</v>
      </c>
      <c r="J629" t="s">
        <v>29</v>
      </c>
      <c r="K629">
        <v>2019</v>
      </c>
      <c r="L629" s="2"/>
    </row>
    <row r="630" spans="1:12" x14ac:dyDescent="0.3">
      <c r="A630" t="s">
        <v>13</v>
      </c>
      <c r="B630" t="s">
        <v>12</v>
      </c>
      <c r="C630" t="s">
        <v>2</v>
      </c>
      <c r="D630" s="2">
        <v>303000</v>
      </c>
      <c r="E630" s="2">
        <v>42420</v>
      </c>
      <c r="F630" s="2">
        <v>260580</v>
      </c>
      <c r="G630" s="2">
        <v>277750</v>
      </c>
      <c r="H630" s="2">
        <v>-17170</v>
      </c>
      <c r="I630" s="1">
        <v>43739</v>
      </c>
      <c r="J630" t="s">
        <v>29</v>
      </c>
      <c r="K630">
        <v>2019</v>
      </c>
      <c r="L630" s="2"/>
    </row>
    <row r="631" spans="1:12" x14ac:dyDescent="0.3">
      <c r="A631" t="s">
        <v>16</v>
      </c>
      <c r="B631" t="s">
        <v>11</v>
      </c>
      <c r="C631" t="s">
        <v>2</v>
      </c>
      <c r="D631" s="2">
        <v>22695</v>
      </c>
      <c r="E631" s="2">
        <v>3177.3</v>
      </c>
      <c r="F631" s="2">
        <v>19517.7</v>
      </c>
      <c r="G631" s="2">
        <v>16643</v>
      </c>
      <c r="H631" s="2">
        <v>2874.7000000000007</v>
      </c>
      <c r="I631" s="1">
        <v>43770</v>
      </c>
      <c r="J631" t="s">
        <v>30</v>
      </c>
      <c r="K631">
        <v>2019</v>
      </c>
      <c r="L631" s="2"/>
    </row>
    <row r="632" spans="1:12" x14ac:dyDescent="0.3">
      <c r="A632" t="s">
        <v>16</v>
      </c>
      <c r="B632" t="s">
        <v>10</v>
      </c>
      <c r="C632" t="s">
        <v>2</v>
      </c>
      <c r="D632" s="2">
        <v>34500</v>
      </c>
      <c r="E632" s="2">
        <v>4830</v>
      </c>
      <c r="F632" s="2">
        <v>29670</v>
      </c>
      <c r="G632" s="2">
        <v>25300.000000000004</v>
      </c>
      <c r="H632" s="2">
        <v>4369.9999999999964</v>
      </c>
      <c r="I632" s="1">
        <v>43800</v>
      </c>
      <c r="J632" t="s">
        <v>24</v>
      </c>
      <c r="K632">
        <v>2019</v>
      </c>
      <c r="L632" s="2"/>
    </row>
    <row r="633" spans="1:12" x14ac:dyDescent="0.3">
      <c r="A633" t="s">
        <v>17</v>
      </c>
      <c r="B633" t="s">
        <v>32</v>
      </c>
      <c r="C633" t="s">
        <v>2</v>
      </c>
      <c r="D633" s="2">
        <v>352625</v>
      </c>
      <c r="E633" s="2">
        <v>49367.5</v>
      </c>
      <c r="F633" s="2">
        <v>303257.5</v>
      </c>
      <c r="G633" s="2">
        <v>372372.00000000006</v>
      </c>
      <c r="H633" s="2">
        <v>-69114.500000000058</v>
      </c>
      <c r="I633" s="1">
        <v>43435</v>
      </c>
      <c r="J633" t="s">
        <v>24</v>
      </c>
      <c r="K633">
        <v>2018</v>
      </c>
      <c r="L633" s="2"/>
    </row>
    <row r="634" spans="1:12" x14ac:dyDescent="0.3">
      <c r="A634" t="s">
        <v>3</v>
      </c>
      <c r="B634" t="s">
        <v>10</v>
      </c>
      <c r="C634" t="s">
        <v>5</v>
      </c>
      <c r="D634" s="2">
        <v>779625</v>
      </c>
      <c r="E634" s="2">
        <v>109147.5</v>
      </c>
      <c r="F634" s="2">
        <v>670477.5</v>
      </c>
      <c r="G634" s="2">
        <v>579150</v>
      </c>
      <c r="H634" s="2">
        <v>91327.5</v>
      </c>
      <c r="I634" s="1">
        <v>43466</v>
      </c>
      <c r="J634" t="s">
        <v>21</v>
      </c>
      <c r="K634">
        <v>2019</v>
      </c>
      <c r="L634" s="2"/>
    </row>
    <row r="635" spans="1:12" x14ac:dyDescent="0.3">
      <c r="A635" t="s">
        <v>3</v>
      </c>
      <c r="B635" t="s">
        <v>11</v>
      </c>
      <c r="C635" t="s">
        <v>5</v>
      </c>
      <c r="D635" s="2">
        <v>419650</v>
      </c>
      <c r="E635" s="2">
        <v>58751</v>
      </c>
      <c r="F635" s="2">
        <v>360899</v>
      </c>
      <c r="G635" s="2">
        <v>311740</v>
      </c>
      <c r="H635" s="2">
        <v>49159</v>
      </c>
      <c r="I635" s="1">
        <v>43556</v>
      </c>
      <c r="J635" t="s">
        <v>38</v>
      </c>
      <c r="K635">
        <v>2019</v>
      </c>
      <c r="L635" s="2"/>
    </row>
    <row r="636" spans="1:12" x14ac:dyDescent="0.3">
      <c r="A636" t="s">
        <v>3</v>
      </c>
      <c r="B636" t="s">
        <v>10</v>
      </c>
      <c r="C636" t="s">
        <v>5</v>
      </c>
      <c r="D636" s="2">
        <v>70000</v>
      </c>
      <c r="E636" s="2">
        <v>9800</v>
      </c>
      <c r="F636" s="2">
        <v>60200</v>
      </c>
      <c r="G636" s="2">
        <v>52000</v>
      </c>
      <c r="H636" s="2">
        <v>8200</v>
      </c>
      <c r="I636" s="1">
        <v>43586</v>
      </c>
      <c r="J636" t="s">
        <v>31</v>
      </c>
      <c r="K636">
        <v>2019</v>
      </c>
      <c r="L636" s="2"/>
    </row>
    <row r="637" spans="1:12" x14ac:dyDescent="0.3">
      <c r="A637" t="s">
        <v>3</v>
      </c>
      <c r="B637" t="s">
        <v>10</v>
      </c>
      <c r="C637" t="s">
        <v>5</v>
      </c>
      <c r="D637" s="2">
        <v>2716</v>
      </c>
      <c r="E637" s="2">
        <v>380.24</v>
      </c>
      <c r="F637" s="2">
        <v>2335.7600000000002</v>
      </c>
      <c r="G637" s="2">
        <v>1940</v>
      </c>
      <c r="H637" s="2">
        <v>395.76000000000022</v>
      </c>
      <c r="I637" s="1">
        <v>43709</v>
      </c>
      <c r="J637" t="s">
        <v>28</v>
      </c>
      <c r="K637">
        <v>2019</v>
      </c>
      <c r="L637" s="2"/>
    </row>
    <row r="638" spans="1:12" x14ac:dyDescent="0.3">
      <c r="A638" t="s">
        <v>3</v>
      </c>
      <c r="B638" t="s">
        <v>32</v>
      </c>
      <c r="C638" t="s">
        <v>5</v>
      </c>
      <c r="D638" s="2">
        <v>12089</v>
      </c>
      <c r="E638" s="2">
        <v>1692.46</v>
      </c>
      <c r="F638" s="2">
        <v>10396.540000000001</v>
      </c>
      <c r="G638" s="2">
        <v>8635</v>
      </c>
      <c r="H638" s="2">
        <v>1761.5400000000009</v>
      </c>
      <c r="I638" s="1">
        <v>43374</v>
      </c>
      <c r="J638" t="s">
        <v>29</v>
      </c>
      <c r="K638">
        <v>2018</v>
      </c>
      <c r="L638" s="2"/>
    </row>
    <row r="639" spans="1:12" x14ac:dyDescent="0.3">
      <c r="A639" t="s">
        <v>16</v>
      </c>
      <c r="B639" t="s">
        <v>10</v>
      </c>
      <c r="C639" t="s">
        <v>5</v>
      </c>
      <c r="D639" s="2">
        <v>34500</v>
      </c>
      <c r="E639" s="2">
        <v>4830</v>
      </c>
      <c r="F639" s="2">
        <v>29670</v>
      </c>
      <c r="G639" s="2">
        <v>23000</v>
      </c>
      <c r="H639" s="2">
        <v>6670</v>
      </c>
      <c r="I639" s="1">
        <v>43800</v>
      </c>
      <c r="J639" t="s">
        <v>24</v>
      </c>
      <c r="K639">
        <v>2019</v>
      </c>
      <c r="L639" s="2"/>
    </row>
    <row r="640" spans="1:12" x14ac:dyDescent="0.3">
      <c r="A640" t="s">
        <v>3</v>
      </c>
      <c r="B640" t="s">
        <v>32</v>
      </c>
      <c r="C640" t="s">
        <v>6</v>
      </c>
      <c r="D640" s="2">
        <v>5200</v>
      </c>
      <c r="E640" s="2">
        <v>728</v>
      </c>
      <c r="F640" s="2">
        <v>4472</v>
      </c>
      <c r="G640" s="2">
        <v>2600</v>
      </c>
      <c r="H640" s="2">
        <v>1872</v>
      </c>
      <c r="I640" s="1">
        <v>43497</v>
      </c>
      <c r="J640" t="s">
        <v>22</v>
      </c>
      <c r="K640">
        <v>2019</v>
      </c>
      <c r="L640" s="2"/>
    </row>
    <row r="641" spans="1:12" x14ac:dyDescent="0.3">
      <c r="A641" t="s">
        <v>16</v>
      </c>
      <c r="B641" t="s">
        <v>10</v>
      </c>
      <c r="C641" t="s">
        <v>6</v>
      </c>
      <c r="D641" s="2">
        <v>37050</v>
      </c>
      <c r="E641" s="2">
        <v>5187</v>
      </c>
      <c r="F641" s="2">
        <v>31863</v>
      </c>
      <c r="G641" s="2">
        <v>24700</v>
      </c>
      <c r="H641" s="2">
        <v>7163</v>
      </c>
      <c r="I641" s="1">
        <v>43344</v>
      </c>
      <c r="J641" t="s">
        <v>28</v>
      </c>
      <c r="K641">
        <v>2018</v>
      </c>
      <c r="L641" s="2"/>
    </row>
    <row r="642" spans="1:12" x14ac:dyDescent="0.3">
      <c r="A642" t="s">
        <v>16</v>
      </c>
      <c r="B642" t="s">
        <v>10</v>
      </c>
      <c r="C642" t="s">
        <v>6</v>
      </c>
      <c r="D642" s="2">
        <v>26145</v>
      </c>
      <c r="E642" s="2">
        <v>3660.3</v>
      </c>
      <c r="F642" s="2">
        <v>22484.7</v>
      </c>
      <c r="G642" s="2">
        <v>17430</v>
      </c>
      <c r="H642" s="2">
        <v>5054.7000000000007</v>
      </c>
      <c r="I642" s="1">
        <v>43374</v>
      </c>
      <c r="J642" t="s">
        <v>29</v>
      </c>
      <c r="K642">
        <v>2018</v>
      </c>
      <c r="L642" s="2"/>
    </row>
    <row r="643" spans="1:12" x14ac:dyDescent="0.3">
      <c r="A643" t="s">
        <v>14</v>
      </c>
      <c r="B643" t="s">
        <v>12</v>
      </c>
      <c r="C643" t="s">
        <v>6</v>
      </c>
      <c r="D643" s="2">
        <v>34968</v>
      </c>
      <c r="E643" s="2">
        <v>4895.5200000000004</v>
      </c>
      <c r="F643" s="2">
        <v>30072.48</v>
      </c>
      <c r="G643" s="2">
        <v>8742</v>
      </c>
      <c r="H643" s="2">
        <v>21330.48</v>
      </c>
      <c r="I643" s="1">
        <v>43739</v>
      </c>
      <c r="J643" t="s">
        <v>29</v>
      </c>
      <c r="K643">
        <v>2019</v>
      </c>
      <c r="L643" s="2"/>
    </row>
    <row r="644" spans="1:12" x14ac:dyDescent="0.3">
      <c r="A644" t="s">
        <v>3</v>
      </c>
      <c r="B644" t="s">
        <v>33</v>
      </c>
      <c r="C644" t="s">
        <v>6</v>
      </c>
      <c r="D644" s="2">
        <v>12117</v>
      </c>
      <c r="E644" s="2">
        <v>1696.38</v>
      </c>
      <c r="F644" s="2">
        <v>10420.619999999999</v>
      </c>
      <c r="G644" s="2">
        <v>8655</v>
      </c>
      <c r="H644" s="2">
        <v>1765.619999999999</v>
      </c>
      <c r="I644" s="1">
        <v>43739</v>
      </c>
      <c r="J644" t="s">
        <v>29</v>
      </c>
      <c r="K644">
        <v>2019</v>
      </c>
      <c r="L644" s="2"/>
    </row>
    <row r="645" spans="1:12" x14ac:dyDescent="0.3">
      <c r="A645" t="s">
        <v>3</v>
      </c>
      <c r="B645" t="s">
        <v>10</v>
      </c>
      <c r="C645" t="s">
        <v>6</v>
      </c>
      <c r="D645" s="2">
        <v>245000</v>
      </c>
      <c r="E645" s="2">
        <v>34300</v>
      </c>
      <c r="F645" s="2">
        <v>210700</v>
      </c>
      <c r="G645" s="2">
        <v>182000</v>
      </c>
      <c r="H645" s="2">
        <v>28700</v>
      </c>
      <c r="I645" s="1">
        <v>43770</v>
      </c>
      <c r="J645" t="s">
        <v>30</v>
      </c>
      <c r="K645">
        <v>2019</v>
      </c>
      <c r="L645" s="2"/>
    </row>
    <row r="646" spans="1:12" x14ac:dyDescent="0.3">
      <c r="A646" t="s">
        <v>14</v>
      </c>
      <c r="B646" t="s">
        <v>10</v>
      </c>
      <c r="C646" t="s">
        <v>6</v>
      </c>
      <c r="D646" s="2">
        <v>26664</v>
      </c>
      <c r="E646" s="2">
        <v>3732.96</v>
      </c>
      <c r="F646" s="2">
        <v>22931.040000000001</v>
      </c>
      <c r="G646" s="2">
        <v>6666</v>
      </c>
      <c r="H646" s="2">
        <v>16265.04</v>
      </c>
      <c r="I646" s="1">
        <v>43405</v>
      </c>
      <c r="J646" t="s">
        <v>30</v>
      </c>
      <c r="K646">
        <v>2018</v>
      </c>
      <c r="L646" s="2"/>
    </row>
    <row r="647" spans="1:12" x14ac:dyDescent="0.3">
      <c r="A647" t="s">
        <v>3</v>
      </c>
      <c r="B647" t="s">
        <v>12</v>
      </c>
      <c r="C647" t="s">
        <v>6</v>
      </c>
      <c r="D647" s="2">
        <v>411950</v>
      </c>
      <c r="E647" s="2">
        <v>57673</v>
      </c>
      <c r="F647" s="2">
        <v>354277</v>
      </c>
      <c r="G647" s="2">
        <v>306020</v>
      </c>
      <c r="H647" s="2">
        <v>48257</v>
      </c>
      <c r="I647" s="1">
        <v>43770</v>
      </c>
      <c r="J647" t="s">
        <v>30</v>
      </c>
      <c r="K647">
        <v>2019</v>
      </c>
      <c r="L647" s="2"/>
    </row>
    <row r="648" spans="1:12" x14ac:dyDescent="0.3">
      <c r="A648" t="s">
        <v>3</v>
      </c>
      <c r="B648" t="s">
        <v>33</v>
      </c>
      <c r="C648" t="s">
        <v>6</v>
      </c>
      <c r="D648" s="2">
        <v>672700</v>
      </c>
      <c r="E648" s="2">
        <v>94178</v>
      </c>
      <c r="F648" s="2">
        <v>578522</v>
      </c>
      <c r="G648" s="2">
        <v>499720</v>
      </c>
      <c r="H648" s="2">
        <v>78802</v>
      </c>
      <c r="I648" s="1">
        <v>43405</v>
      </c>
      <c r="J648" t="s">
        <v>30</v>
      </c>
      <c r="K648">
        <v>2018</v>
      </c>
      <c r="L648" s="2"/>
    </row>
    <row r="649" spans="1:12" x14ac:dyDescent="0.3">
      <c r="A649" t="s">
        <v>17</v>
      </c>
      <c r="B649" t="s">
        <v>32</v>
      </c>
      <c r="C649" t="s">
        <v>7</v>
      </c>
      <c r="D649" s="2">
        <v>196875</v>
      </c>
      <c r="E649" s="2">
        <v>27562.5</v>
      </c>
      <c r="F649" s="2">
        <v>169312.5</v>
      </c>
      <c r="G649" s="2">
        <v>189000</v>
      </c>
      <c r="H649" s="2">
        <v>-19687.5</v>
      </c>
      <c r="I649" s="1">
        <v>43497</v>
      </c>
      <c r="J649" t="s">
        <v>22</v>
      </c>
      <c r="K649">
        <v>2019</v>
      </c>
      <c r="L649" s="2"/>
    </row>
    <row r="650" spans="1:12" x14ac:dyDescent="0.3">
      <c r="A650" t="s">
        <v>3</v>
      </c>
      <c r="B650" t="s">
        <v>12</v>
      </c>
      <c r="C650" t="s">
        <v>7</v>
      </c>
      <c r="D650" s="2">
        <v>12120</v>
      </c>
      <c r="E650" s="2">
        <v>1696.8000000000002</v>
      </c>
      <c r="F650" s="2">
        <v>10423.200000000001</v>
      </c>
      <c r="G650" s="2">
        <v>6060</v>
      </c>
      <c r="H650" s="2">
        <v>4363.2000000000007</v>
      </c>
      <c r="I650" s="1">
        <v>43556</v>
      </c>
      <c r="J650" t="s">
        <v>38</v>
      </c>
      <c r="K650">
        <v>2019</v>
      </c>
      <c r="L650" s="2"/>
    </row>
    <row r="651" spans="1:12" x14ac:dyDescent="0.3">
      <c r="A651" t="s">
        <v>13</v>
      </c>
      <c r="B651" t="s">
        <v>12</v>
      </c>
      <c r="C651" t="s">
        <v>7</v>
      </c>
      <c r="D651" s="2">
        <v>738000</v>
      </c>
      <c r="E651" s="2">
        <v>103320</v>
      </c>
      <c r="F651" s="2">
        <v>634680</v>
      </c>
      <c r="G651" s="2">
        <v>615000</v>
      </c>
      <c r="H651" s="2">
        <v>19680</v>
      </c>
      <c r="I651" s="1">
        <v>43647</v>
      </c>
      <c r="J651" t="s">
        <v>26</v>
      </c>
      <c r="K651">
        <v>2019</v>
      </c>
      <c r="L651" s="2"/>
    </row>
    <row r="652" spans="1:12" x14ac:dyDescent="0.3">
      <c r="A652" t="s">
        <v>13</v>
      </c>
      <c r="B652" t="s">
        <v>10</v>
      </c>
      <c r="C652" t="s">
        <v>7</v>
      </c>
      <c r="D652" s="2">
        <v>80700</v>
      </c>
      <c r="E652" s="2">
        <v>11298</v>
      </c>
      <c r="F652" s="2">
        <v>69402</v>
      </c>
      <c r="G652" s="2">
        <v>67250</v>
      </c>
      <c r="H652" s="2">
        <v>2152</v>
      </c>
      <c r="I652" s="1">
        <v>43374</v>
      </c>
      <c r="J652" t="s">
        <v>29</v>
      </c>
      <c r="K652">
        <v>2018</v>
      </c>
      <c r="L652" s="2"/>
    </row>
    <row r="653" spans="1:12" x14ac:dyDescent="0.3">
      <c r="A653" t="s">
        <v>13</v>
      </c>
      <c r="B653" t="s">
        <v>11</v>
      </c>
      <c r="C653" t="s">
        <v>7</v>
      </c>
      <c r="D653" s="2">
        <v>760800</v>
      </c>
      <c r="E653" s="2">
        <v>106512</v>
      </c>
      <c r="F653" s="2">
        <v>654288</v>
      </c>
      <c r="G653" s="2">
        <v>634000</v>
      </c>
      <c r="H653" s="2">
        <v>20288</v>
      </c>
      <c r="I653" s="1">
        <v>43405</v>
      </c>
      <c r="J653" t="s">
        <v>30</v>
      </c>
      <c r="K653">
        <v>2018</v>
      </c>
      <c r="L653" s="2"/>
    </row>
    <row r="654" spans="1:12" x14ac:dyDescent="0.3">
      <c r="A654" t="s">
        <v>3</v>
      </c>
      <c r="B654" t="s">
        <v>32</v>
      </c>
      <c r="C654" t="s">
        <v>8</v>
      </c>
      <c r="D654" s="2">
        <v>20321</v>
      </c>
      <c r="E654" s="2">
        <v>2844.94</v>
      </c>
      <c r="F654" s="2">
        <v>17476.060000000001</v>
      </c>
      <c r="G654" s="2">
        <v>14515</v>
      </c>
      <c r="H654" s="2">
        <v>2961.0600000000013</v>
      </c>
      <c r="I654" s="1">
        <v>43525</v>
      </c>
      <c r="J654" t="s">
        <v>25</v>
      </c>
      <c r="K654">
        <v>2019</v>
      </c>
      <c r="L654" s="2"/>
    </row>
    <row r="655" spans="1:12" x14ac:dyDescent="0.3">
      <c r="A655" t="s">
        <v>13</v>
      </c>
      <c r="B655" t="s">
        <v>12</v>
      </c>
      <c r="C655" t="s">
        <v>8</v>
      </c>
      <c r="D655" s="2">
        <v>762300</v>
      </c>
      <c r="E655" s="2">
        <v>106722</v>
      </c>
      <c r="F655" s="2">
        <v>655578</v>
      </c>
      <c r="G655" s="2">
        <v>635250</v>
      </c>
      <c r="H655" s="2">
        <v>20328</v>
      </c>
      <c r="I655" s="1">
        <v>43678</v>
      </c>
      <c r="J655" t="s">
        <v>27</v>
      </c>
      <c r="K655">
        <v>2019</v>
      </c>
      <c r="L655" s="2"/>
    </row>
    <row r="656" spans="1:12" x14ac:dyDescent="0.3">
      <c r="A656" t="s">
        <v>13</v>
      </c>
      <c r="B656" t="s">
        <v>10</v>
      </c>
      <c r="C656" t="s">
        <v>8</v>
      </c>
      <c r="D656" s="2">
        <v>80700</v>
      </c>
      <c r="E656" s="2">
        <v>11298</v>
      </c>
      <c r="F656" s="2">
        <v>69402</v>
      </c>
      <c r="G656" s="2">
        <v>67250</v>
      </c>
      <c r="H656" s="2">
        <v>2152</v>
      </c>
      <c r="I656" s="1">
        <v>43374</v>
      </c>
      <c r="J656" t="s">
        <v>29</v>
      </c>
      <c r="K656">
        <v>2018</v>
      </c>
      <c r="L656" s="2"/>
    </row>
    <row r="657" spans="1:12" x14ac:dyDescent="0.3">
      <c r="A657" t="s">
        <v>13</v>
      </c>
      <c r="B657" t="s">
        <v>10</v>
      </c>
      <c r="C657" t="s">
        <v>8</v>
      </c>
      <c r="D657" s="2">
        <v>448800</v>
      </c>
      <c r="E657" s="2">
        <v>62832</v>
      </c>
      <c r="F657" s="2">
        <v>385968</v>
      </c>
      <c r="G657" s="2">
        <v>374000</v>
      </c>
      <c r="H657" s="2">
        <v>11968</v>
      </c>
      <c r="I657" s="1">
        <v>43739</v>
      </c>
      <c r="J657" t="s">
        <v>29</v>
      </c>
      <c r="K657">
        <v>2019</v>
      </c>
      <c r="L657" s="2"/>
    </row>
    <row r="658" spans="1:12" x14ac:dyDescent="0.3">
      <c r="A658" t="s">
        <v>13</v>
      </c>
      <c r="B658" t="s">
        <v>12</v>
      </c>
      <c r="C658" t="s">
        <v>8</v>
      </c>
      <c r="D658" s="2">
        <v>303000</v>
      </c>
      <c r="E658" s="2">
        <v>42420</v>
      </c>
      <c r="F658" s="2">
        <v>260580</v>
      </c>
      <c r="G658" s="2">
        <v>252500</v>
      </c>
      <c r="H658" s="2">
        <v>8080</v>
      </c>
      <c r="I658" s="1">
        <v>43739</v>
      </c>
      <c r="J658" t="s">
        <v>29</v>
      </c>
      <c r="K658">
        <v>2019</v>
      </c>
      <c r="L658" s="2"/>
    </row>
    <row r="659" spans="1:12" x14ac:dyDescent="0.3">
      <c r="A659" t="s">
        <v>3</v>
      </c>
      <c r="B659" t="s">
        <v>33</v>
      </c>
      <c r="C659" t="s">
        <v>8</v>
      </c>
      <c r="D659" s="2">
        <v>448350</v>
      </c>
      <c r="E659" s="2">
        <v>62769</v>
      </c>
      <c r="F659" s="2">
        <v>385581</v>
      </c>
      <c r="G659" s="2">
        <v>333060</v>
      </c>
      <c r="H659" s="2">
        <v>52521</v>
      </c>
      <c r="I659" s="1">
        <v>43435</v>
      </c>
      <c r="J659" t="s">
        <v>24</v>
      </c>
      <c r="K659">
        <v>2018</v>
      </c>
      <c r="L659" s="2"/>
    </row>
    <row r="660" spans="1:12" x14ac:dyDescent="0.3">
      <c r="A660" t="s">
        <v>13</v>
      </c>
      <c r="B660" t="s">
        <v>10</v>
      </c>
      <c r="C660" t="s">
        <v>9</v>
      </c>
      <c r="D660" s="2">
        <v>266400</v>
      </c>
      <c r="E660" s="2">
        <v>37296</v>
      </c>
      <c r="F660" s="2">
        <v>229104</v>
      </c>
      <c r="G660" s="2">
        <v>222000</v>
      </c>
      <c r="H660" s="2">
        <v>7104</v>
      </c>
      <c r="I660" s="1">
        <v>43525</v>
      </c>
      <c r="J660" t="s">
        <v>25</v>
      </c>
      <c r="K660">
        <v>2019</v>
      </c>
      <c r="L660" s="2"/>
    </row>
    <row r="661" spans="1:12" x14ac:dyDescent="0.3">
      <c r="A661" t="s">
        <v>17</v>
      </c>
      <c r="B661" t="s">
        <v>12</v>
      </c>
      <c r="C661" t="s">
        <v>9</v>
      </c>
      <c r="D661" s="2">
        <v>355500</v>
      </c>
      <c r="E661" s="2">
        <v>49770</v>
      </c>
      <c r="F661" s="2">
        <v>305730</v>
      </c>
      <c r="G661" s="2">
        <v>341280</v>
      </c>
      <c r="H661" s="2">
        <v>-35550</v>
      </c>
      <c r="I661" s="1">
        <v>43586</v>
      </c>
      <c r="J661" t="s">
        <v>31</v>
      </c>
      <c r="K661">
        <v>2019</v>
      </c>
      <c r="L661" s="2"/>
    </row>
    <row r="662" spans="1:12" x14ac:dyDescent="0.3">
      <c r="A662" t="s">
        <v>14</v>
      </c>
      <c r="B662" t="s">
        <v>33</v>
      </c>
      <c r="C662" t="s">
        <v>9</v>
      </c>
      <c r="D662" s="2">
        <v>29700</v>
      </c>
      <c r="E662" s="2">
        <v>4158</v>
      </c>
      <c r="F662" s="2">
        <v>25542</v>
      </c>
      <c r="G662" s="2">
        <v>7425</v>
      </c>
      <c r="H662" s="2">
        <v>18117</v>
      </c>
      <c r="I662" s="1">
        <v>43678</v>
      </c>
      <c r="J662" t="s">
        <v>27</v>
      </c>
      <c r="K662">
        <v>2019</v>
      </c>
      <c r="L662" s="2"/>
    </row>
    <row r="663" spans="1:12" x14ac:dyDescent="0.3">
      <c r="A663" t="s">
        <v>16</v>
      </c>
      <c r="B663" t="s">
        <v>10</v>
      </c>
      <c r="C663" t="s">
        <v>9</v>
      </c>
      <c r="D663" s="2">
        <v>26145</v>
      </c>
      <c r="E663" s="2">
        <v>3660.3</v>
      </c>
      <c r="F663" s="2">
        <v>22484.7</v>
      </c>
      <c r="G663" s="2">
        <v>17430</v>
      </c>
      <c r="H663" s="2">
        <v>5054.7000000000007</v>
      </c>
      <c r="I663" s="1">
        <v>43374</v>
      </c>
      <c r="J663" t="s">
        <v>29</v>
      </c>
      <c r="K663">
        <v>2018</v>
      </c>
      <c r="L663" s="2"/>
    </row>
    <row r="664" spans="1:12" x14ac:dyDescent="0.3">
      <c r="A664" t="s">
        <v>14</v>
      </c>
      <c r="B664" t="s">
        <v>12</v>
      </c>
      <c r="C664" t="s">
        <v>9</v>
      </c>
      <c r="D664" s="2">
        <v>34968</v>
      </c>
      <c r="E664" s="2">
        <v>4895.5200000000004</v>
      </c>
      <c r="F664" s="2">
        <v>30072.48</v>
      </c>
      <c r="G664" s="2">
        <v>8742</v>
      </c>
      <c r="H664" s="2">
        <v>21330.48</v>
      </c>
      <c r="I664" s="1">
        <v>43739</v>
      </c>
      <c r="J664" t="s">
        <v>29</v>
      </c>
      <c r="K664">
        <v>2019</v>
      </c>
      <c r="L664" s="2"/>
    </row>
    <row r="665" spans="1:12" x14ac:dyDescent="0.3">
      <c r="A665" t="s">
        <v>3</v>
      </c>
      <c r="B665" t="s">
        <v>33</v>
      </c>
      <c r="C665" t="s">
        <v>9</v>
      </c>
      <c r="D665" s="2">
        <v>12117</v>
      </c>
      <c r="E665" s="2">
        <v>1696.38</v>
      </c>
      <c r="F665" s="2">
        <v>10420.619999999999</v>
      </c>
      <c r="G665" s="2">
        <v>8655</v>
      </c>
      <c r="H665" s="2">
        <v>1765.619999999999</v>
      </c>
      <c r="I665" s="1">
        <v>43739</v>
      </c>
      <c r="J665" t="s">
        <v>29</v>
      </c>
      <c r="K665">
        <v>2019</v>
      </c>
      <c r="L665" s="2"/>
    </row>
    <row r="666" spans="1:12" x14ac:dyDescent="0.3">
      <c r="A666" t="s">
        <v>3</v>
      </c>
      <c r="B666" t="s">
        <v>32</v>
      </c>
      <c r="C666" t="s">
        <v>9</v>
      </c>
      <c r="D666" s="2">
        <v>12089</v>
      </c>
      <c r="E666" s="2">
        <v>1692.46</v>
      </c>
      <c r="F666" s="2">
        <v>10396.540000000001</v>
      </c>
      <c r="G666" s="2">
        <v>8635</v>
      </c>
      <c r="H666" s="2">
        <v>1761.5400000000009</v>
      </c>
      <c r="I666" s="1">
        <v>43374</v>
      </c>
      <c r="J666" t="s">
        <v>29</v>
      </c>
      <c r="K666">
        <v>2018</v>
      </c>
      <c r="L666" s="2"/>
    </row>
    <row r="667" spans="1:12" x14ac:dyDescent="0.3">
      <c r="A667" t="s">
        <v>16</v>
      </c>
      <c r="B667" t="s">
        <v>32</v>
      </c>
      <c r="C667" t="s">
        <v>9</v>
      </c>
      <c r="D667" s="2">
        <v>28050</v>
      </c>
      <c r="E667" s="2">
        <v>3927</v>
      </c>
      <c r="F667" s="2">
        <v>24123</v>
      </c>
      <c r="G667" s="2">
        <v>18700</v>
      </c>
      <c r="H667" s="2">
        <v>5423</v>
      </c>
      <c r="I667" s="1">
        <v>43405</v>
      </c>
      <c r="J667" t="s">
        <v>30</v>
      </c>
      <c r="K667">
        <v>2018</v>
      </c>
      <c r="L667" s="2"/>
    </row>
    <row r="668" spans="1:12" x14ac:dyDescent="0.3">
      <c r="A668" t="s">
        <v>17</v>
      </c>
      <c r="B668" t="s">
        <v>33</v>
      </c>
      <c r="C668" t="s">
        <v>2</v>
      </c>
      <c r="D668" s="2">
        <v>146750</v>
      </c>
      <c r="E668" s="2">
        <v>22012.5</v>
      </c>
      <c r="F668" s="2">
        <v>124737.5</v>
      </c>
      <c r="G668" s="2">
        <v>154968</v>
      </c>
      <c r="H668" s="2">
        <v>-30230.5</v>
      </c>
      <c r="I668" s="1">
        <v>43678</v>
      </c>
      <c r="J668" t="s">
        <v>27</v>
      </c>
      <c r="K668">
        <v>2019</v>
      </c>
      <c r="L668" s="2"/>
    </row>
    <row r="669" spans="1:12" x14ac:dyDescent="0.3">
      <c r="A669" t="s">
        <v>17</v>
      </c>
      <c r="B669" t="s">
        <v>11</v>
      </c>
      <c r="C669" t="s">
        <v>2</v>
      </c>
      <c r="D669" s="2">
        <v>345875</v>
      </c>
      <c r="E669" s="2">
        <v>51881.25</v>
      </c>
      <c r="F669" s="2">
        <v>293993.75</v>
      </c>
      <c r="G669" s="2">
        <v>365244.00000000006</v>
      </c>
      <c r="H669" s="2">
        <v>-71250.250000000058</v>
      </c>
      <c r="I669" s="1">
        <v>43678</v>
      </c>
      <c r="J669" t="s">
        <v>27</v>
      </c>
      <c r="K669">
        <v>2019</v>
      </c>
      <c r="L669" s="2"/>
    </row>
    <row r="670" spans="1:12" x14ac:dyDescent="0.3">
      <c r="A670" t="s">
        <v>17</v>
      </c>
      <c r="B670" t="s">
        <v>11</v>
      </c>
      <c r="C670" t="s">
        <v>2</v>
      </c>
      <c r="D670" s="2">
        <v>135625</v>
      </c>
      <c r="E670" s="2">
        <v>20343.75</v>
      </c>
      <c r="F670" s="2">
        <v>115281.25</v>
      </c>
      <c r="G670" s="2">
        <v>143220</v>
      </c>
      <c r="H670" s="2">
        <v>-27938.75</v>
      </c>
      <c r="I670" s="1">
        <v>43739</v>
      </c>
      <c r="J670" t="s">
        <v>29</v>
      </c>
      <c r="K670">
        <v>2019</v>
      </c>
      <c r="L670" s="2"/>
    </row>
    <row r="671" spans="1:12" x14ac:dyDescent="0.3">
      <c r="A671" t="s">
        <v>13</v>
      </c>
      <c r="B671" t="s">
        <v>32</v>
      </c>
      <c r="C671" t="s">
        <v>5</v>
      </c>
      <c r="D671" s="2">
        <v>163800</v>
      </c>
      <c r="E671" s="2">
        <v>24570</v>
      </c>
      <c r="F671" s="2">
        <v>139230</v>
      </c>
      <c r="G671" s="2">
        <v>136500</v>
      </c>
      <c r="H671" s="2">
        <v>2730</v>
      </c>
      <c r="I671" s="1">
        <v>43739</v>
      </c>
      <c r="J671" t="s">
        <v>29</v>
      </c>
      <c r="K671">
        <v>2019</v>
      </c>
      <c r="L671" s="2"/>
    </row>
    <row r="672" spans="1:12" x14ac:dyDescent="0.3">
      <c r="A672" t="s">
        <v>3</v>
      </c>
      <c r="B672" t="s">
        <v>11</v>
      </c>
      <c r="C672" t="s">
        <v>6</v>
      </c>
      <c r="D672" s="2">
        <v>23160</v>
      </c>
      <c r="E672" s="2">
        <v>3474</v>
      </c>
      <c r="F672" s="2">
        <v>19686</v>
      </c>
      <c r="G672" s="2">
        <v>11580</v>
      </c>
      <c r="H672" s="2">
        <v>8106</v>
      </c>
      <c r="I672" s="1">
        <v>43525</v>
      </c>
      <c r="J672" t="s">
        <v>25</v>
      </c>
      <c r="K672">
        <v>2019</v>
      </c>
      <c r="L672" s="2"/>
    </row>
    <row r="673" spans="1:12" x14ac:dyDescent="0.3">
      <c r="A673" t="s">
        <v>16</v>
      </c>
      <c r="B673" t="s">
        <v>10</v>
      </c>
      <c r="C673" t="s">
        <v>6</v>
      </c>
      <c r="D673" s="2">
        <v>24210</v>
      </c>
      <c r="E673" s="2">
        <v>3631.5</v>
      </c>
      <c r="F673" s="2">
        <v>20578.5</v>
      </c>
      <c r="G673" s="2">
        <v>16140</v>
      </c>
      <c r="H673" s="2">
        <v>4438.5</v>
      </c>
      <c r="I673" s="1">
        <v>43556</v>
      </c>
      <c r="J673" t="s">
        <v>38</v>
      </c>
      <c r="K673">
        <v>2019</v>
      </c>
      <c r="L673" s="2"/>
    </row>
    <row r="674" spans="1:12" x14ac:dyDescent="0.3">
      <c r="A674" t="s">
        <v>3</v>
      </c>
      <c r="B674" t="s">
        <v>32</v>
      </c>
      <c r="C674" t="s">
        <v>6</v>
      </c>
      <c r="D674" s="2">
        <v>17745</v>
      </c>
      <c r="E674" s="2">
        <v>2661.75</v>
      </c>
      <c r="F674" s="2">
        <v>15083.25</v>
      </c>
      <c r="G674" s="2">
        <v>12675</v>
      </c>
      <c r="H674" s="2">
        <v>2408.25</v>
      </c>
      <c r="I674" s="1">
        <v>43556</v>
      </c>
      <c r="J674" t="s">
        <v>38</v>
      </c>
      <c r="K674">
        <v>2019</v>
      </c>
      <c r="L674" s="2"/>
    </row>
    <row r="675" spans="1:12" x14ac:dyDescent="0.3">
      <c r="A675" t="s">
        <v>3</v>
      </c>
      <c r="B675" t="s">
        <v>32</v>
      </c>
      <c r="C675" t="s">
        <v>6</v>
      </c>
      <c r="D675" s="2">
        <v>997850</v>
      </c>
      <c r="E675" s="2">
        <v>149677.5</v>
      </c>
      <c r="F675" s="2">
        <v>848172.5</v>
      </c>
      <c r="G675" s="2">
        <v>741260</v>
      </c>
      <c r="H675" s="2">
        <v>106912.5</v>
      </c>
      <c r="I675" s="1">
        <v>43586</v>
      </c>
      <c r="J675" t="s">
        <v>31</v>
      </c>
      <c r="K675">
        <v>2019</v>
      </c>
      <c r="L675" s="2"/>
    </row>
    <row r="676" spans="1:12" x14ac:dyDescent="0.3">
      <c r="A676" t="s">
        <v>16</v>
      </c>
      <c r="B676" t="s">
        <v>10</v>
      </c>
      <c r="C676" t="s">
        <v>6</v>
      </c>
      <c r="D676" s="2">
        <v>38385</v>
      </c>
      <c r="E676" s="2">
        <v>5757.75</v>
      </c>
      <c r="F676" s="2">
        <v>32627.25</v>
      </c>
      <c r="G676" s="2">
        <v>25590</v>
      </c>
      <c r="H676" s="2">
        <v>7037.25</v>
      </c>
      <c r="I676" s="1">
        <v>43678</v>
      </c>
      <c r="J676" t="s">
        <v>27</v>
      </c>
      <c r="K676">
        <v>2019</v>
      </c>
      <c r="L676" s="2"/>
    </row>
    <row r="677" spans="1:12" x14ac:dyDescent="0.3">
      <c r="A677" t="s">
        <v>3</v>
      </c>
      <c r="B677" t="s">
        <v>12</v>
      </c>
      <c r="C677" t="s">
        <v>6</v>
      </c>
      <c r="D677" s="2">
        <v>5340</v>
      </c>
      <c r="E677" s="2">
        <v>801</v>
      </c>
      <c r="F677" s="2">
        <v>4539</v>
      </c>
      <c r="G677" s="2">
        <v>2670</v>
      </c>
      <c r="H677" s="2">
        <v>1869</v>
      </c>
      <c r="I677" s="1">
        <v>43374</v>
      </c>
      <c r="J677" t="s">
        <v>29</v>
      </c>
      <c r="K677">
        <v>2018</v>
      </c>
      <c r="L677" s="2"/>
    </row>
    <row r="678" spans="1:12" x14ac:dyDescent="0.3">
      <c r="A678" t="s">
        <v>17</v>
      </c>
      <c r="B678" t="s">
        <v>11</v>
      </c>
      <c r="C678" t="s">
        <v>6</v>
      </c>
      <c r="D678" s="2">
        <v>135625</v>
      </c>
      <c r="E678" s="2">
        <v>20343.75</v>
      </c>
      <c r="F678" s="2">
        <v>115281.25</v>
      </c>
      <c r="G678" s="2">
        <v>130200</v>
      </c>
      <c r="H678" s="2">
        <v>-14918.75</v>
      </c>
      <c r="I678" s="1">
        <v>43739</v>
      </c>
      <c r="J678" t="s">
        <v>29</v>
      </c>
      <c r="K678">
        <v>2019</v>
      </c>
      <c r="L678" s="2"/>
    </row>
    <row r="679" spans="1:12" x14ac:dyDescent="0.3">
      <c r="A679" t="s">
        <v>16</v>
      </c>
      <c r="B679" t="s">
        <v>11</v>
      </c>
      <c r="C679" t="s">
        <v>6</v>
      </c>
      <c r="D679" s="2">
        <v>17625</v>
      </c>
      <c r="E679" s="2">
        <v>2643.75</v>
      </c>
      <c r="F679" s="2">
        <v>14981.25</v>
      </c>
      <c r="G679" s="2">
        <v>11750</v>
      </c>
      <c r="H679" s="2">
        <v>3231.25</v>
      </c>
      <c r="I679" s="1">
        <v>43739</v>
      </c>
      <c r="J679" t="s">
        <v>29</v>
      </c>
      <c r="K679">
        <v>2019</v>
      </c>
      <c r="L679" s="2"/>
    </row>
    <row r="680" spans="1:12" x14ac:dyDescent="0.3">
      <c r="A680" t="s">
        <v>3</v>
      </c>
      <c r="B680" t="s">
        <v>12</v>
      </c>
      <c r="C680" t="s">
        <v>6</v>
      </c>
      <c r="D680" s="2">
        <v>702450</v>
      </c>
      <c r="E680" s="2">
        <v>105367.5</v>
      </c>
      <c r="F680" s="2">
        <v>597082.5</v>
      </c>
      <c r="G680" s="2">
        <v>521820</v>
      </c>
      <c r="H680" s="2">
        <v>75262.5</v>
      </c>
      <c r="I680" s="1">
        <v>43405</v>
      </c>
      <c r="J680" t="s">
        <v>30</v>
      </c>
      <c r="K680">
        <v>2018</v>
      </c>
      <c r="L680" s="2"/>
    </row>
    <row r="681" spans="1:12" x14ac:dyDescent="0.3">
      <c r="A681" t="s">
        <v>3</v>
      </c>
      <c r="B681" t="s">
        <v>32</v>
      </c>
      <c r="C681" t="s">
        <v>6</v>
      </c>
      <c r="D681" s="2">
        <v>752850</v>
      </c>
      <c r="E681" s="2">
        <v>112927.5</v>
      </c>
      <c r="F681" s="2">
        <v>639922.5</v>
      </c>
      <c r="G681" s="2">
        <v>559260</v>
      </c>
      <c r="H681" s="2">
        <v>80662.5</v>
      </c>
      <c r="I681" s="1">
        <v>43405</v>
      </c>
      <c r="J681" t="s">
        <v>30</v>
      </c>
      <c r="K681">
        <v>2018</v>
      </c>
      <c r="L681" s="2"/>
    </row>
    <row r="682" spans="1:12" x14ac:dyDescent="0.3">
      <c r="A682" t="s">
        <v>14</v>
      </c>
      <c r="B682" t="s">
        <v>12</v>
      </c>
      <c r="C682" t="s">
        <v>6</v>
      </c>
      <c r="D682" s="2">
        <v>10968</v>
      </c>
      <c r="E682" s="2">
        <v>1645.2</v>
      </c>
      <c r="F682" s="2">
        <v>9322.7999999999993</v>
      </c>
      <c r="G682" s="2">
        <v>2742</v>
      </c>
      <c r="H682" s="2">
        <v>6580.7999999999993</v>
      </c>
      <c r="I682" s="1">
        <v>43800</v>
      </c>
      <c r="J682" t="s">
        <v>24</v>
      </c>
      <c r="K682">
        <v>2019</v>
      </c>
      <c r="L682" s="2"/>
    </row>
    <row r="683" spans="1:12" x14ac:dyDescent="0.3">
      <c r="A683" t="s">
        <v>3</v>
      </c>
      <c r="B683" t="s">
        <v>33</v>
      </c>
      <c r="C683" t="s">
        <v>6</v>
      </c>
      <c r="D683" s="2">
        <v>5860</v>
      </c>
      <c r="E683" s="2">
        <v>879</v>
      </c>
      <c r="F683" s="2">
        <v>4981</v>
      </c>
      <c r="G683" s="2">
        <v>2930</v>
      </c>
      <c r="H683" s="2">
        <v>2051</v>
      </c>
      <c r="I683" s="1">
        <v>43800</v>
      </c>
      <c r="J683" t="s">
        <v>24</v>
      </c>
      <c r="K683">
        <v>2019</v>
      </c>
      <c r="L683" s="2"/>
    </row>
    <row r="684" spans="1:12" x14ac:dyDescent="0.3">
      <c r="A684" t="s">
        <v>14</v>
      </c>
      <c r="B684" t="s">
        <v>32</v>
      </c>
      <c r="C684" t="s">
        <v>7</v>
      </c>
      <c r="D684" s="2">
        <v>6000</v>
      </c>
      <c r="E684" s="2">
        <v>900</v>
      </c>
      <c r="F684" s="2">
        <v>5100</v>
      </c>
      <c r="G684" s="2">
        <v>1500</v>
      </c>
      <c r="H684" s="2">
        <v>3600</v>
      </c>
      <c r="I684" s="1">
        <v>43525</v>
      </c>
      <c r="J684" t="s">
        <v>25</v>
      </c>
      <c r="K684">
        <v>2019</v>
      </c>
      <c r="L684" s="2"/>
    </row>
    <row r="685" spans="1:12" x14ac:dyDescent="0.3">
      <c r="A685" t="s">
        <v>16</v>
      </c>
      <c r="B685" t="s">
        <v>33</v>
      </c>
      <c r="C685" t="s">
        <v>7</v>
      </c>
      <c r="D685" s="2">
        <v>42390</v>
      </c>
      <c r="E685" s="2">
        <v>6358.5</v>
      </c>
      <c r="F685" s="2">
        <v>36031.5</v>
      </c>
      <c r="G685" s="2">
        <v>28260</v>
      </c>
      <c r="H685" s="2">
        <v>7771.5</v>
      </c>
      <c r="I685" s="1">
        <v>43586</v>
      </c>
      <c r="J685" t="s">
        <v>31</v>
      </c>
      <c r="K685">
        <v>2019</v>
      </c>
      <c r="L685" s="2"/>
    </row>
    <row r="686" spans="1:12" x14ac:dyDescent="0.3">
      <c r="A686" t="s">
        <v>17</v>
      </c>
      <c r="B686" t="s">
        <v>33</v>
      </c>
      <c r="C686" t="s">
        <v>7</v>
      </c>
      <c r="D686" s="2">
        <v>82875</v>
      </c>
      <c r="E686" s="2">
        <v>12431.25</v>
      </c>
      <c r="F686" s="2">
        <v>70443.75</v>
      </c>
      <c r="G686" s="2">
        <v>79560</v>
      </c>
      <c r="H686" s="2">
        <v>-9116.25</v>
      </c>
      <c r="I686" s="1">
        <v>43709</v>
      </c>
      <c r="J686" t="s">
        <v>28</v>
      </c>
      <c r="K686">
        <v>2019</v>
      </c>
      <c r="L686" s="2"/>
    </row>
    <row r="687" spans="1:12" x14ac:dyDescent="0.3">
      <c r="A687" t="s">
        <v>13</v>
      </c>
      <c r="B687" t="s">
        <v>12</v>
      </c>
      <c r="C687" t="s">
        <v>7</v>
      </c>
      <c r="D687" s="2">
        <v>772200</v>
      </c>
      <c r="E687" s="2">
        <v>115830</v>
      </c>
      <c r="F687" s="2">
        <v>656370</v>
      </c>
      <c r="G687" s="2">
        <v>643500</v>
      </c>
      <c r="H687" s="2">
        <v>12870</v>
      </c>
      <c r="I687" s="1">
        <v>43405</v>
      </c>
      <c r="J687" t="s">
        <v>30</v>
      </c>
      <c r="K687">
        <v>2018</v>
      </c>
      <c r="L687" s="2"/>
    </row>
    <row r="688" spans="1:12" x14ac:dyDescent="0.3">
      <c r="A688" t="s">
        <v>17</v>
      </c>
      <c r="B688" t="s">
        <v>12</v>
      </c>
      <c r="C688" t="s">
        <v>7</v>
      </c>
      <c r="D688" s="2">
        <v>304750</v>
      </c>
      <c r="E688" s="2">
        <v>45712.5</v>
      </c>
      <c r="F688" s="2">
        <v>259037.5</v>
      </c>
      <c r="G688" s="2">
        <v>292560</v>
      </c>
      <c r="H688" s="2">
        <v>-33522.5</v>
      </c>
      <c r="I688" s="1">
        <v>43435</v>
      </c>
      <c r="J688" t="s">
        <v>24</v>
      </c>
      <c r="K688">
        <v>2018</v>
      </c>
      <c r="L688" s="2"/>
    </row>
    <row r="689" spans="1:12" x14ac:dyDescent="0.3">
      <c r="A689" t="s">
        <v>14</v>
      </c>
      <c r="B689" t="s">
        <v>12</v>
      </c>
      <c r="C689" t="s">
        <v>7</v>
      </c>
      <c r="D689" s="2">
        <v>10968</v>
      </c>
      <c r="E689" s="2">
        <v>1645.2</v>
      </c>
      <c r="F689" s="2">
        <v>9322.7999999999993</v>
      </c>
      <c r="G689" s="2">
        <v>2742</v>
      </c>
      <c r="H689" s="2">
        <v>6580.7999999999993</v>
      </c>
      <c r="I689" s="1">
        <v>43800</v>
      </c>
      <c r="J689" t="s">
        <v>24</v>
      </c>
      <c r="K689">
        <v>2019</v>
      </c>
      <c r="L689" s="2"/>
    </row>
    <row r="690" spans="1:12" x14ac:dyDescent="0.3">
      <c r="A690" t="s">
        <v>3</v>
      </c>
      <c r="B690" t="s">
        <v>10</v>
      </c>
      <c r="C690" t="s">
        <v>8</v>
      </c>
      <c r="D690" s="2">
        <v>17310</v>
      </c>
      <c r="E690" s="2">
        <v>2596.5</v>
      </c>
      <c r="F690" s="2">
        <v>14713.5</v>
      </c>
      <c r="G690" s="2">
        <v>8655</v>
      </c>
      <c r="H690" s="2">
        <v>6058.5</v>
      </c>
      <c r="I690" s="1">
        <v>43647</v>
      </c>
      <c r="J690" t="s">
        <v>26</v>
      </c>
      <c r="K690">
        <v>2019</v>
      </c>
      <c r="L690" s="2"/>
    </row>
    <row r="691" spans="1:12" x14ac:dyDescent="0.3">
      <c r="A691" t="s">
        <v>16</v>
      </c>
      <c r="B691" t="s">
        <v>11</v>
      </c>
      <c r="C691" t="s">
        <v>8</v>
      </c>
      <c r="D691" s="2">
        <v>7380</v>
      </c>
      <c r="E691" s="2">
        <v>1107</v>
      </c>
      <c r="F691" s="2">
        <v>6273</v>
      </c>
      <c r="G691" s="2">
        <v>4920</v>
      </c>
      <c r="H691" s="2">
        <v>1353</v>
      </c>
      <c r="I691" s="1">
        <v>43647</v>
      </c>
      <c r="J691" t="s">
        <v>26</v>
      </c>
      <c r="K691">
        <v>2019</v>
      </c>
      <c r="L691" s="2"/>
    </row>
    <row r="692" spans="1:12" x14ac:dyDescent="0.3">
      <c r="A692" t="s">
        <v>3</v>
      </c>
      <c r="B692" t="s">
        <v>12</v>
      </c>
      <c r="C692" t="s">
        <v>8</v>
      </c>
      <c r="D692" s="2">
        <v>5340</v>
      </c>
      <c r="E692" s="2">
        <v>801</v>
      </c>
      <c r="F692" s="2">
        <v>4539</v>
      </c>
      <c r="G692" s="2">
        <v>2670</v>
      </c>
      <c r="H692" s="2">
        <v>1869</v>
      </c>
      <c r="I692" s="1">
        <v>43374</v>
      </c>
      <c r="J692" t="s">
        <v>29</v>
      </c>
      <c r="K692">
        <v>2018</v>
      </c>
      <c r="L692" s="2"/>
    </row>
    <row r="693" spans="1:12" x14ac:dyDescent="0.3">
      <c r="A693" t="s">
        <v>16</v>
      </c>
      <c r="B693" t="s">
        <v>11</v>
      </c>
      <c r="C693" t="s">
        <v>8</v>
      </c>
      <c r="D693" s="2">
        <v>17625</v>
      </c>
      <c r="E693" s="2">
        <v>2643.75</v>
      </c>
      <c r="F693" s="2">
        <v>14981.25</v>
      </c>
      <c r="G693" s="2">
        <v>11750</v>
      </c>
      <c r="H693" s="2">
        <v>3231.25</v>
      </c>
      <c r="I693" s="1">
        <v>43739</v>
      </c>
      <c r="J693" t="s">
        <v>29</v>
      </c>
      <c r="K693">
        <v>2019</v>
      </c>
      <c r="L693" s="2"/>
    </row>
    <row r="694" spans="1:12" x14ac:dyDescent="0.3">
      <c r="A694" t="s">
        <v>17</v>
      </c>
      <c r="B694" t="s">
        <v>10</v>
      </c>
      <c r="C694" t="s">
        <v>8</v>
      </c>
      <c r="D694" s="2">
        <v>369250</v>
      </c>
      <c r="E694" s="2">
        <v>55387.5</v>
      </c>
      <c r="F694" s="2">
        <v>313862.5</v>
      </c>
      <c r="G694" s="2">
        <v>354480</v>
      </c>
      <c r="H694" s="2">
        <v>-40617.5</v>
      </c>
      <c r="I694" s="1">
        <v>43405</v>
      </c>
      <c r="J694" t="s">
        <v>30</v>
      </c>
      <c r="K694">
        <v>2018</v>
      </c>
      <c r="L694" s="2"/>
    </row>
    <row r="695" spans="1:12" x14ac:dyDescent="0.3">
      <c r="A695" t="s">
        <v>17</v>
      </c>
      <c r="B695" t="s">
        <v>11</v>
      </c>
      <c r="C695" t="s">
        <v>8</v>
      </c>
      <c r="D695" s="2">
        <v>69000</v>
      </c>
      <c r="E695" s="2">
        <v>10350</v>
      </c>
      <c r="F695" s="2">
        <v>58650</v>
      </c>
      <c r="G695" s="2">
        <v>66240</v>
      </c>
      <c r="H695" s="2">
        <v>-7590</v>
      </c>
      <c r="I695" s="1">
        <v>43770</v>
      </c>
      <c r="J695" t="s">
        <v>30</v>
      </c>
      <c r="K695">
        <v>2019</v>
      </c>
      <c r="L695" s="2"/>
    </row>
    <row r="696" spans="1:12" x14ac:dyDescent="0.3">
      <c r="A696" t="s">
        <v>3</v>
      </c>
      <c r="B696" t="s">
        <v>33</v>
      </c>
      <c r="C696" t="s">
        <v>8</v>
      </c>
      <c r="D696" s="2">
        <v>5860</v>
      </c>
      <c r="E696" s="2">
        <v>879</v>
      </c>
      <c r="F696" s="2">
        <v>4981</v>
      </c>
      <c r="G696" s="2">
        <v>2930</v>
      </c>
      <c r="H696" s="2">
        <v>2051</v>
      </c>
      <c r="I696" s="1">
        <v>43800</v>
      </c>
      <c r="J696" t="s">
        <v>24</v>
      </c>
      <c r="K696">
        <v>2019</v>
      </c>
      <c r="L696" s="2"/>
    </row>
    <row r="697" spans="1:12" x14ac:dyDescent="0.3">
      <c r="A697" t="s">
        <v>13</v>
      </c>
      <c r="B697" t="s">
        <v>33</v>
      </c>
      <c r="C697" t="s">
        <v>9</v>
      </c>
      <c r="D697" s="2">
        <v>742500</v>
      </c>
      <c r="E697" s="2">
        <v>111375</v>
      </c>
      <c r="F697" s="2">
        <v>631125</v>
      </c>
      <c r="G697" s="2">
        <v>618750</v>
      </c>
      <c r="H697" s="2">
        <v>12375</v>
      </c>
      <c r="I697" s="1">
        <v>43525</v>
      </c>
      <c r="J697" t="s">
        <v>25</v>
      </c>
      <c r="K697">
        <v>2019</v>
      </c>
      <c r="L697" s="2"/>
    </row>
    <row r="698" spans="1:12" x14ac:dyDescent="0.3">
      <c r="A698" t="s">
        <v>13</v>
      </c>
      <c r="B698" t="s">
        <v>32</v>
      </c>
      <c r="C698" t="s">
        <v>9</v>
      </c>
      <c r="D698" s="2">
        <v>163800</v>
      </c>
      <c r="E698" s="2">
        <v>24570</v>
      </c>
      <c r="F698" s="2">
        <v>139230</v>
      </c>
      <c r="G698" s="2">
        <v>136500</v>
      </c>
      <c r="H698" s="2">
        <v>2730</v>
      </c>
      <c r="I698" s="1">
        <v>43739</v>
      </c>
      <c r="J698" t="s">
        <v>29</v>
      </c>
      <c r="K698">
        <v>2019</v>
      </c>
      <c r="L698" s="2"/>
    </row>
    <row r="699" spans="1:12" x14ac:dyDescent="0.3">
      <c r="A699" t="s">
        <v>3</v>
      </c>
      <c r="B699" t="s">
        <v>32</v>
      </c>
      <c r="C699" t="s">
        <v>5</v>
      </c>
      <c r="D699" s="2">
        <v>9576</v>
      </c>
      <c r="E699" s="2">
        <v>1436.4</v>
      </c>
      <c r="F699" s="2">
        <v>8139.6</v>
      </c>
      <c r="G699" s="2">
        <v>6840</v>
      </c>
      <c r="H699" s="2">
        <v>1299.6000000000004</v>
      </c>
      <c r="I699" s="1">
        <v>43497</v>
      </c>
      <c r="J699" t="s">
        <v>22</v>
      </c>
      <c r="K699">
        <v>2019</v>
      </c>
      <c r="L699" s="2"/>
    </row>
    <row r="700" spans="1:12" x14ac:dyDescent="0.3">
      <c r="A700" t="s">
        <v>3</v>
      </c>
      <c r="B700" t="s">
        <v>10</v>
      </c>
      <c r="C700" t="s">
        <v>6</v>
      </c>
      <c r="D700" s="2">
        <v>5061</v>
      </c>
      <c r="E700" s="2">
        <v>759.15000000000009</v>
      </c>
      <c r="F700" s="2">
        <v>4301.8500000000004</v>
      </c>
      <c r="G700" s="2">
        <v>3615</v>
      </c>
      <c r="H700" s="2">
        <v>686.85000000000036</v>
      </c>
      <c r="I700" s="1">
        <v>43556</v>
      </c>
      <c r="J700" t="s">
        <v>38</v>
      </c>
      <c r="K700">
        <v>2019</v>
      </c>
      <c r="L700" s="2"/>
    </row>
    <row r="701" spans="1:12" x14ac:dyDescent="0.3">
      <c r="A701" t="s">
        <v>14</v>
      </c>
      <c r="B701" t="s">
        <v>12</v>
      </c>
      <c r="C701" t="s">
        <v>8</v>
      </c>
      <c r="D701" s="2">
        <v>21672</v>
      </c>
      <c r="E701" s="2">
        <v>3250.8</v>
      </c>
      <c r="F701" s="2">
        <v>18421.2</v>
      </c>
      <c r="G701" s="2">
        <v>5418</v>
      </c>
      <c r="H701" s="2">
        <v>13003.2</v>
      </c>
      <c r="I701" s="1">
        <v>43586</v>
      </c>
      <c r="J701" t="s">
        <v>31</v>
      </c>
      <c r="K701">
        <v>2019</v>
      </c>
      <c r="L70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B6873913-A576-4305-BDA8-31DE305B3998}">
  <ds:schemaRefs/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Solucao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Vinícius Lima</cp:lastModifiedBy>
  <dcterms:created xsi:type="dcterms:W3CDTF">2014-01-28T02:45:41Z</dcterms:created>
  <dcterms:modified xsi:type="dcterms:W3CDTF">2022-11-09T14:35:10Z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